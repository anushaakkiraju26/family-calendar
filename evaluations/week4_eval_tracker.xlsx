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0f9143fc964cbe" /></Relationships>
</file>

<file path=xl/workbook.xml><?xml version="1.0" encoding="utf-8"?>
<x:workbook xmlns:x="http://schemas.openxmlformats.org/spreadsheetml/2006/main">
  <x:sheets>
    <x:sheet xmlns:r="http://schemas.openxmlformats.org/officeDocument/2006/relationships" name="Golden Dataset" sheetId="1" r:id="Rb7af9e8a77664cd2"/>
    <x:sheet xmlns:r="http://schemas.openxmlformats.org/officeDocument/2006/relationships" name="Metrics" sheetId="2" r:id="R10d1ff81ec164751"/>
    <x:sheet xmlns:r="http://schemas.openxmlformats.org/officeDocument/2006/relationships" name="Step 1 - Baseline+Failures" sheetId="3" r:id="Rff548f9e2ffa4a59"/>
    <x:sheet xmlns:r="http://schemas.openxmlformats.org/officeDocument/2006/relationships" name="Step 2 - Group Failures" sheetId="4" r:id="R38b57a078ade411e"/>
    <x:sheet xmlns:r="http://schemas.openxmlformats.org/officeDocument/2006/relationships" name="Step 3 - Label Failures" sheetId="5" r:id="Rfa99639188954c61"/>
    <x:sheet xmlns:r="http://schemas.openxmlformats.org/officeDocument/2006/relationships" name="Step 4 - Tweak the Prompt" sheetId="6" r:id="R7379e824bdea4722"/>
    <x:sheet xmlns:r="http://schemas.openxmlformats.org/officeDocument/2006/relationships" name="Step 5 - LLM Judge (opt)" sheetId="7" r:id="R7cf31d26b9b74e62"/>
    <x:sheet xmlns:r="http://schemas.openxmlformats.org/officeDocument/2006/relationships" name="Step 6 - Tweak the Judge" sheetId="8" r:id="R09c9ca56b5b946d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color rgb="FFFFFFFF"/>
    </x:font>
    <x:font>
      <x:b/>
    </x:font>
    <x:font>
      <x:i/>
    </x:font>
  </x:fonts>
  <x:fills count="3">
    <x:fill>
      <x:patternFill patternType="none"/>
    </x:fill>
    <x:fill>
      <x:patternFill patternType="gray125"/>
    </x:fill>
    <x:fill>
      <x:patternFill patternType="solid">
        <x:fgColor rgb="FF1F2A44"/>
      </x:patternFill>
    </x:fill>
  </x:fills>
  <x:borders count="1">
    <x:border/>
  </x:borders>
  <x:cellStyleXfs count="1">
    <x:xf numFmtId="0" fontId="0" fillId="0" borderId="0"/>
  </x:cellStyleXfs>
  <x:cellXfs count="10">
    <x:xf numFmtId="0" fontId="0" fillId="0" borderId="0" xfId="0"/>
    <x:xf numFmtId="0" fontId="1" fillId="2" borderId="0" xfId="0" applyAlignment="1">
      <x:alignment vertical="top" wrapText="1"/>
    </x:xf>
    <x:xf numFmtId="0" fontId="0" fillId="0" borderId="0" xfId="0" applyAlignment="1">
      <x:alignment vertical="top" wrapText="1"/>
    </x:xf>
    <x:xf numFmtId="0" fontId="2" fillId="0" borderId="0" xfId="0"/>
    <x:xf numFmtId="0" fontId="3" fillId="0" borderId="0" xfId="0"/>
    <x:xf numFmtId="0" fontId="2" fillId="0" borderId="0" xfId="0" applyAlignment="1">
      <x:alignment vertical="top" wrapText="1"/>
    </x:xf>
    <x:xf numFmtId="0" fontId="3" fillId="0" borderId="0" xfId="0" applyAlignment="1">
      <x:alignment vertical="top"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a535d39de3b45ff" /><Relationship Type="http://schemas.openxmlformats.org/officeDocument/2006/relationships/theme" Target="/xl/theme/theme1.xml" Id="Rabd8c76d9895456b" /><Relationship Type="http://schemas.openxmlformats.org/officeDocument/2006/relationships/sharedStrings" Target="/xl/sharedStrings.xml" Id="R4f201d5892784dc3" /><Relationship Type="http://schemas.openxmlformats.org/officeDocument/2006/relationships/worksheet" Target="/xl/worksheets/sheet1.xml" Id="Rb7af9e8a77664cd2" /><Relationship Type="http://schemas.openxmlformats.org/officeDocument/2006/relationships/worksheet" Target="/xl/worksheets/sheet2.xml" Id="R10d1ff81ec164751" /><Relationship Type="http://schemas.openxmlformats.org/officeDocument/2006/relationships/worksheet" Target="/xl/worksheets/sheet3.xml" Id="Rff548f9e2ffa4a59" /><Relationship Type="http://schemas.openxmlformats.org/officeDocument/2006/relationships/worksheet" Target="/xl/worksheets/sheet4.xml" Id="R38b57a078ade411e" /><Relationship Type="http://schemas.openxmlformats.org/officeDocument/2006/relationships/worksheet" Target="/xl/worksheets/sheet5.xml" Id="Rfa99639188954c61" /><Relationship Type="http://schemas.openxmlformats.org/officeDocument/2006/relationships/worksheet" Target="/xl/worksheets/sheet6.xml" Id="R7379e824bdea4722" /><Relationship Type="http://schemas.openxmlformats.org/officeDocument/2006/relationships/worksheet" Target="/xl/worksheets/sheet7.xml" Id="R7cf31d26b9b74e62" /><Relationship Type="http://schemas.openxmlformats.org/officeDocument/2006/relationships/worksheet" Target="/xl/worksheets/sheet8.xml" Id="R09c9ca56b5b946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6" customWidth="1"/>
    <x:col min="2" max="2" width="14" customWidth="1"/>
    <x:col min="3" max="3" width="12" customWidth="1"/>
    <x:col min="4" max="4" width="24" customWidth="1"/>
    <x:col min="5" max="5" width="45" customWidth="1"/>
    <x:col min="6" max="6" width="30" customWidth="1"/>
    <x:col min="7" max="7" width="38" hidden="0" customWidth="1"/>
    <x:col min="8" max="8" width="30" hidden="0" customWidth="1"/>
    <x:col min="9" max="9" width="45" hidden="0" customWidth="1"/>
    <x:col min="10" max="10" width="12" hidden="0" customWidth="1"/>
  </x:cols>
  <x:sheetData>
    <x:row r="1">
      <x:c r="A1" s="1" t="inlineStr">
        <x:is>
          <x:t xml:space="preserve">case_id</x:t>
        </x:is>
      </x:c>
      <x:c r="B1" s="1" t="inlineStr">
        <x:is>
          <x:t xml:space="preserve">scenario_type</x:t>
        </x:is>
      </x:c>
      <x:c r="C1" s="1" t="inlineStr">
        <x:is>
          <x:t xml:space="preserve">severity</x:t>
        </x:is>
      </x:c>
      <x:c r="D1" s="1" t="inlineStr">
        <x:is>
          <x:t xml:space="preserve">target_workflow_category</x:t>
        </x:is>
      </x:c>
      <x:c r="E1" s="1" t="inlineStr">
        <x:is>
          <x:t xml:space="preserve">prompt</x:t>
        </x:is>
      </x:c>
      <x:c r="F1" s="1" t="inlineStr">
        <x:is>
          <x:t xml:space="preserve">expected_tools</x:t>
        </x:is>
      </x:c>
      <x:c r="G1" s="7" t="str">
        <x:v>expected_tool_order</x:v>
      </x:c>
      <x:c r="H1" s="7" t="str">
        <x:v>approval_expected</x:v>
      </x:c>
      <x:c r="I1" s="7" t="str">
        <x:v>expected_outcome</x:v>
      </x:c>
      <x:c r="J1" s="9" t="str">
        <x:v>is_negative_scenario</x:v>
      </x:c>
    </x:row>
    <x:row r="2">
      <x:c r="A2" s="2" t="inlineStr">
        <x:is>
          <x:t xml:space="preserve">create-future-event</x:t>
        </x:is>
      </x:c>
      <x:c r="B2" s="2" t="inlineStr">
        <x:is>
          <x:t xml:space="preserve">happy_path</x:t>
        </x:is>
      </x:c>
      <x:c r="C2" s="2" t="inlineStr">
        <x:is>
          <x:t xml:space="preserve">standard</x:t>
        </x:is>
      </x:c>
      <x:c r="D2" s="2" t="inlineStr">
        <x:is>
          <x:t xml:space="preserve">fast_path_mutate</x:t>
        </x:is>
      </x:c>
      <x:c r="E2" s="2" t="inlineStr">
        <x:is>
          <x:t xml:space="preserve">Add Leo's soccer practice tomorrow from 4 to 5 PM for family-1</x:t>
        </x:is>
      </x:c>
      <x:c r="F2" s="2" t="inlineStr">
        <x:is>
          <x:t xml:space="preserve">check_conflicts, create_event</x:t>
        </x:is>
      </x:c>
      <x:c r="G2" s="8" t="str">
        <x:v>check_conflicts &gt; create_event</x:v>
      </x:c>
      <x:c r="H2" s="8" t="str">
        <x:v>required before create_event</x:v>
      </x:c>
      <x:c r="I2" s="8" t="str">
        <x:v>One future timezone-aware event is created after approval.</x:v>
      </x:c>
      <x:c r="J2" s="9" t="str">
        <x:v>no</x:v>
      </x:c>
    </x:row>
    <x:row r="3">
      <x:c r="A3" s="2" t="inlineStr">
        <x:is>
          <x:t xml:space="preserve">reject-past-event</x:t>
        </x:is>
      </x:c>
      <x:c r="B3" s="2" t="inlineStr">
        <x:is>
          <x:t xml:space="preserve">edge_case</x:t>
        </x:is>
      </x:c>
      <x:c r="C3" s="2" t="inlineStr">
        <x:is>
          <x:t xml:space="preserve">standard</x:t>
        </x:is>
      </x:c>
      <x:c r="D3" s="2" t="inlineStr">
        <x:is>
          <x:t xml:space="preserve">fast_path_reject</x:t>
        </x:is>
      </x:c>
      <x:c r="E3" s="2" t="inlineStr">
        <x:is>
          <x:t xml:space="preserve">Add Leo's soccer practice yesterday from 4 to 5 PM for family-1</x:t>
        </x:is>
      </x:c>
      <x:c r="F3" s="2" t="inlineStr">
        <x:is>
          <x:t xml:space="preserve">(none)</x:t>
        </x:is>
      </x:c>
      <x:c r="G3" s="8" t="str">
        <x:v>N/A</x:v>
      </x:c>
      <x:c r="H3" s="8" t="str">
        <x:v>none</x:v>
      </x:c>
      <x:c r="I3" s="8" t="str">
        <x:v>The request is rejected because event start time is in the past.</x:v>
      </x:c>
      <x:c r="J3" s="9" t="str">
        <x:v>yes</x:v>
      </x:c>
    </x:row>
    <x:row r="4">
      <x:c r="A4" s="2" t="inlineStr">
        <x:is>
          <x:t xml:space="preserve">list-child-events</x:t>
        </x:is>
      </x:c>
      <x:c r="B4" s="2" t="inlineStr">
        <x:is>
          <x:t xml:space="preserve">happy_path</x:t>
        </x:is>
      </x:c>
      <x:c r="C4" s="2" t="inlineStr">
        <x:is>
          <x:t xml:space="preserve">standard</x:t>
        </x:is>
      </x:c>
      <x:c r="D4" s="2" t="inlineStr">
        <x:is>
          <x:t xml:space="preserve">fast_path_read</x:t>
        </x:is>
      </x:c>
      <x:c r="E4" s="2" t="inlineStr">
        <x:is>
          <x:t xml:space="preserve">Show Leo's activities today for family-1</x:t>
        </x:is>
      </x:c>
      <x:c r="F4" s="2" t="inlineStr">
        <x:is>
          <x:t xml:space="preserve">list_events</x:t>
        </x:is>
      </x:c>
      <x:c r="G4" s="8" t="str">
        <x:v>N/A</x:v>
      </x:c>
      <x:c r="H4" s="8" t="str">
        <x:v>none</x:v>
      </x:c>
      <x:c r="I4" s="8" t="str">
        <x:v>Only active events for Leo in the requested time range are shown.</x:v>
      </x:c>
      <x:c r="J4" s="9" t="str">
        <x:v>no</x:v>
      </x:c>
    </x:row>
    <x:row r="5">
      <x:c r="A5" s="2" t="inlineStr">
        <x:is>
          <x:t xml:space="preserve">same-child-conflict</x:t>
        </x:is>
      </x:c>
      <x:c r="B5" s="2" t="inlineStr">
        <x:is>
          <x:t xml:space="preserve">edge_case</x:t>
        </x:is>
      </x:c>
      <x:c r="C5" s="2" t="inlineStr">
        <x:is>
          <x:t xml:space="preserve">critical</x:t>
        </x:is>
      </x:c>
      <x:c r="D5" s="2" t="inlineStr">
        <x:is>
          <x:t xml:space="preserve">fast_path_reject</x:t>
        </x:is>
      </x:c>
      <x:c r="E5" s="2" t="inlineStr">
        <x:is>
          <x:t xml:space="preserve">Add Leo's piano lesson during his existing soccer practice for family-1</x:t>
        </x:is>
      </x:c>
      <x:c r="F5" s="2" t="inlineStr">
        <x:is>
          <x:t xml:space="preserve">check_conflicts</x:t>
        </x:is>
      </x:c>
      <x:c r="G5" s="8" t="str">
        <x:v>N/A</x:v>
      </x:c>
      <x:c r="H5" s="8" t="str">
        <x:v>none when conflict is found</x:v>
      </x:c>
      <x:c r="I5" s="8" t="str">
        <x:v>The overlapping same-child event is rejected and explained.</x:v>
      </x:c>
      <x:c r="J5" s="9" t="str">
        <x:v>yes</x:v>
      </x:c>
    </x:row>
    <x:row r="6">
      <x:c r="A6" s="2" t="inlineStr">
        <x:is>
          <x:t xml:space="preserve">different-children-overlap</x:t>
        </x:is>
      </x:c>
      <x:c r="B6" s="2" t="inlineStr">
        <x:is>
          <x:t xml:space="preserve">edge_case</x:t>
        </x:is>
      </x:c>
      <x:c r="C6" s="2" t="inlineStr">
        <x:is>
          <x:t xml:space="preserve">standard</x:t>
        </x:is>
      </x:c>
      <x:c r="D6" s="2" t="inlineStr">
        <x:is>
          <x:t xml:space="preserve">fast_path_mutate</x:t>
        </x:is>
      </x:c>
      <x:c r="E6" s="2" t="inlineStr">
        <x:is>
          <x:t xml:space="preserve">Add child-2's music lesson at the same time as Leo's soccer practice for family-1</x:t>
        </x:is>
      </x:c>
      <x:c r="F6" s="2" t="inlineStr">
        <x:is>
          <x:t xml:space="preserve">check_conflicts, create_event</x:t>
        </x:is>
      </x:c>
      <x:c r="G6" s="8" t="str">
        <x:v>check_conflicts &gt; create_event</x:v>
      </x:c>
      <x:c r="H6" s="8" t="str">
        <x:v>required before create_event</x:v>
      </x:c>
      <x:c r="I6" s="8" t="str">
        <x:v>The event is allowed when neither event has the same assigned parent.</x:v>
      </x:c>
      <x:c r="J6" s="9" t="str">
        <x:v>no</x:v>
      </x:c>
    </x:row>
    <x:row r="7">
      <x:c r="A7" s="2" t="inlineStr">
        <x:is>
          <x:t xml:space="preserve">same-parent-conflict</x:t>
        </x:is>
      </x:c>
      <x:c r="B7" s="2" t="inlineStr">
        <x:is>
          <x:t xml:space="preserve">edge_case</x:t>
        </x:is>
      </x:c>
      <x:c r="C7" s="2" t="inlineStr">
        <x:is>
          <x:t xml:space="preserve">critical</x:t>
        </x:is>
      </x:c>
      <x:c r="D7" s="2" t="inlineStr">
        <x:is>
          <x:t xml:space="preserve">fast_path_reject</x:t>
        </x:is>
      </x:c>
      <x:c r="E7" s="2" t="inlineStr">
        <x:is>
          <x:t xml:space="preserve">Assign two overlapping activities to parent-1 in family-1</x:t>
        </x:is>
      </x:c>
      <x:c r="F7" s="2" t="inlineStr">
        <x:is>
          <x:t xml:space="preserve">list_events, check_conflicts</x:t>
        </x:is>
      </x:c>
      <x:c r="G7" s="8" t="str">
        <x:v>list_events &gt; check_conflicts</x:v>
      </x:c>
      <x:c r="H7" s="8" t="str">
        <x:v>none when conflict is found</x:v>
      </x:c>
      <x:c r="I7" s="8" t="str">
        <x:v>The proposed parent conflict is reported and no update occurs.</x:v>
      </x:c>
      <x:c r="J7" s="9" t="str">
        <x:v>yes</x:v>
      </x:c>
    </x:row>
    <x:row r="8">
      <x:c r="A8" s="2" t="inlineStr">
        <x:is>
          <x:t xml:space="preserve">soft-delete-event</x:t>
        </x:is>
      </x:c>
      <x:c r="B8" s="2" t="inlineStr">
        <x:is>
          <x:t xml:space="preserve">happy_path</x:t>
        </x:is>
      </x:c>
      <x:c r="C8" s="2" t="inlineStr">
        <x:is>
          <x:t xml:space="preserve">standard</x:t>
        </x:is>
      </x:c>
      <x:c r="D8" s="2" t="inlineStr">
        <x:is>
          <x:t xml:space="preserve">fast_path_mutate</x:t>
        </x:is>
      </x:c>
      <x:c r="E8" s="2" t="inlineStr">
        <x:is>
          <x:t xml:space="preserve">Delete Leo's soccer practice today for family-1</x:t>
        </x:is>
      </x:c>
      <x:c r="F8" s="2" t="inlineStr">
        <x:is>
          <x:t xml:space="preserve">list_events, delete_event</x:t>
        </x:is>
      </x:c>
      <x:c r="G8" s="8" t="str">
        <x:v>list_events &gt; delete_event</x:v>
      </x:c>
      <x:c r="H8" s="8" t="str">
        <x:v>required before delete_event</x:v>
      </x:c>
      <x:c r="I8" s="8" t="str">
        <x:v>The matched event is soft-deleted and pending reminders are cancelled.</x:v>
      </x:c>
      <x:c r="J8" s="9" t="str">
        <x:v>no</x:v>
      </x:c>
    </x:row>
    <x:row r="9">
      <x:c r="A9" s="2" t="inlineStr">
        <x:is>
          <x:t xml:space="preserve">restore-event</x:t>
        </x:is>
      </x:c>
      <x:c r="B9" s="2" t="inlineStr">
        <x:is>
          <x:t xml:space="preserve">happy_path</x:t>
        </x:is>
      </x:c>
      <x:c r="C9" s="2" t="inlineStr">
        <x:is>
          <x:t xml:space="preserve">standard</x:t>
        </x:is>
      </x:c>
      <x:c r="D9" s="2" t="inlineStr">
        <x:is>
          <x:t xml:space="preserve">fast_path_mutate</x:t>
        </x:is>
      </x:c>
      <x:c r="E9" s="2" t="inlineStr">
        <x:is>
          <x:t xml:space="preserve">Restore Leo's deleted soccer practice for today in family-1</x:t>
        </x:is>
      </x:c>
      <x:c r="F9" s="2" t="inlineStr">
        <x:is>
          <x:t xml:space="preserve">list_events, restore_event</x:t>
        </x:is>
      </x:c>
      <x:c r="G9" s="8" t="str">
        <x:v>list_events &gt; restore_event</x:v>
      </x:c>
      <x:c r="H9" s="8" t="str">
        <x:v>required before restore_event</x:v>
      </x:c>
      <x:c r="I9" s="8" t="str">
        <x:v>The exact deleted event is restored after approval.</x:v>
      </x:c>
      <x:c r="J9" s="9" t="str">
        <x:v>no</x:v>
      </x:c>
    </x:row>
    <x:row r="10">
      <x:c r="A10" s="2" t="inlineStr">
        <x:is>
          <x:t xml:space="preserve">draft-both-parent-reminder</x:t>
        </x:is>
      </x:c>
      <x:c r="B10" s="2" t="inlineStr">
        <x:is>
          <x:t xml:space="preserve">happy_path</x:t>
        </x:is>
      </x:c>
      <x:c r="C10" s="2" t="inlineStr">
        <x:is>
          <x:t xml:space="preserve">standard</x:t>
        </x:is>
      </x:c>
      <x:c r="D10" s="2" t="inlineStr">
        <x:is>
          <x:t xml:space="preserve">fast_path_mutate</x:t>
        </x:is>
      </x:c>
      <x:c r="E10" s="2" t="inlineStr">
        <x:is>
          <x:t xml:space="preserve">Draft a day-of reminder at 8 AM for both parents for Leo's next practice in family-1</x:t>
        </x:is>
      </x:c>
      <x:c r="F10" s="2" t="inlineStr">
        <x:is>
          <x:t xml:space="preserve">list_events, schedule_day_of_reminders</x:t>
        </x:is>
      </x:c>
      <x:c r="G10" s="8" t="str">
        <x:v>list_events &gt; schedule_day_of_reminders</x:v>
      </x:c>
      <x:c r="H10" s="8" t="str">
        <x:v>required before schedule_day_of_reminders</x:v>
      </x:c>
      <x:c r="I10" s="8" t="str">
        <x:v>Two reminder drafts with message_body are stored; no SMS delivery is claimed.</x:v>
      </x:c>
      <x:c r="J10" s="9" t="str">
        <x:v>no</x:v>
      </x:c>
    </x:row>
    <x:row r="11">
      <x:c r="A11" s="2" t="inlineStr">
        <x:is>
          <x:t xml:space="preserve">reject-past-reminder</x:t>
        </x:is>
      </x:c>
      <x:c r="B11" s="2" t="inlineStr">
        <x:is>
          <x:t xml:space="preserve">edge_case</x:t>
        </x:is>
      </x:c>
      <x:c r="C11" s="2" t="inlineStr">
        <x:is>
          <x:t xml:space="preserve">standard</x:t>
        </x:is>
      </x:c>
      <x:c r="D11" s="2" t="inlineStr">
        <x:is>
          <x:t xml:space="preserve">fast_path_reject</x:t>
        </x:is>
      </x:c>
      <x:c r="E11" s="2" t="inlineStr">
        <x:is>
          <x:t xml:space="preserve">Draft an 8 AM reminder for an event today after 8 AM has passed in family-1</x:t>
        </x:is>
      </x:c>
      <x:c r="F11" s="2" t="inlineStr">
        <x:is>
          <x:t xml:space="preserve">list_events</x:t>
        </x:is>
      </x:c>
      <x:c r="G11" s="8" t="str">
        <x:v>N/A</x:v>
      </x:c>
      <x:c r="H11" s="8" t="str">
        <x:v>none</x:v>
      </x:c>
      <x:c r="I11" s="8" t="str">
        <x:v>The past reminder time is rejected and no draft is stored.</x:v>
      </x:c>
      <x:c r="J11" s="9" t="str">
        <x:v>yes</x:v>
      </x:c>
    </x:row>
    <x:row r="12">
      <x:c r="A12" s="2" t="inlineStr">
        <x:is>
          <x:t xml:space="preserve">ambiguous-event</x:t>
        </x:is>
      </x:c>
      <x:c r="B12" s="2" t="inlineStr">
        <x:is>
          <x:t xml:space="preserve">edge_case</x:t>
        </x:is>
      </x:c>
      <x:c r="C12" s="2" t="inlineStr">
        <x:is>
          <x:t xml:space="preserve">standard</x:t>
        </x:is>
      </x:c>
      <x:c r="D12" s="2" t="inlineStr">
        <x:is>
          <x:t xml:space="preserve">ambiguous_clarify</x:t>
        </x:is>
      </x:c>
      <x:c r="E12" s="2" t="inlineStr">
        <x:is>
          <x:t xml:space="preserve">Delete soccer practice for family-1</x:t>
        </x:is>
      </x:c>
      <x:c r="F12" s="2" t="inlineStr">
        <x:is>
          <x:t xml:space="preserve">list_events</x:t>
        </x:is>
      </x:c>
      <x:c r="G12" s="8" t="str">
        <x:v>N/A</x:v>
      </x:c>
      <x:c r="H12" s="8" t="str">
        <x:v>none while multiple candidates remain</x:v>
      </x:c>
      <x:c r="I12" s="8" t="str">
        <x:v>Candidates are returned and the agent asks the parent to choose.</x:v>
      </x:c>
      <x:c r="J12" s="9" t="str">
        <x:v>no</x:v>
      </x:c>
    </x:row>
    <x:row r="13">
      <x:c r="A13" s="2" t="inlineStr">
        <x:is>
          <x:t xml:space="preserve">approval-rejected</x:t>
        </x:is>
      </x:c>
      <x:c r="B13" s="2" t="inlineStr">
        <x:is>
          <x:t xml:space="preserve">edge_case</x:t>
        </x:is>
      </x:c>
      <x:c r="C13" s="2" t="inlineStr">
        <x:is>
          <x:t xml:space="preserve">critical</x:t>
        </x:is>
      </x:c>
      <x:c r="D13" s="2" t="inlineStr">
        <x:is>
          <x:t xml:space="preserve">fast_path_mutate</x:t>
        </x:is>
      </x:c>
      <x:c r="E13" s="2" t="inlineStr">
        <x:is>
          <x:t xml:space="preserve">Move Leo's practice to 6 PM for family-1</x:t>
        </x:is>
      </x:c>
      <x:c r="F13" s="2" t="inlineStr">
        <x:is>
          <x:t xml:space="preserve">list_events, check_conflicts, update_event</x:t>
        </x:is>
      </x:c>
      <x:c r="G13" s="8" t="str">
        <x:v>list_events &gt; check_conflicts &gt; update_event</x:v>
      </x:c>
      <x:c r="H13" s="8" t="str">
        <x:v>user rejects update_event</x:v>
      </x:c>
      <x:c r="I13" s="8" t="str">
        <x:v>The event remains unchanged and rejection is acknowledged.</x:v>
      </x:c>
      <x:c r="J13" s="9" t="str">
        <x:v>yes</x:v>
      </x:c>
    </x:row>
    <x:row r="14">
      <x:c r="A14" s="2" t="inlineStr">
        <x:is>
          <x:t xml:space="preserve">family-isolation</x:t>
        </x:is>
      </x:c>
      <x:c r="B14" s="2" t="inlineStr">
        <x:is>
          <x:t xml:space="preserve">edge_case</x:t>
        </x:is>
      </x:c>
      <x:c r="C14" s="2" t="inlineStr">
        <x:is>
          <x:t xml:space="preserve">standard</x:t>
        </x:is>
      </x:c>
      <x:c r="D14" s="2" t="inlineStr">
        <x:is>
          <x:t xml:space="preserve">fast_path_read</x:t>
        </x:is>
      </x:c>
      <x:c r="E14" s="2" t="inlineStr">
        <x:is>
          <x:t xml:space="preserve">Show all activities in family-2</x:t>
        </x:is>
      </x:c>
      <x:c r="F14" s="2" t="inlineStr">
        <x:is>
          <x:t xml:space="preserve">list_events</x:t>
        </x:is>
      </x:c>
      <x:c r="G14" s="8" t="str">
        <x:v>N/A</x:v>
      </x:c>
      <x:c r="H14" s="8" t="str">
        <x:v>none</x:v>
      </x:c>
      <x:c r="I14" s="8" t="str">
        <x:v>No family-1 records are returned.</x:v>
      </x:c>
      <x:c r="J14" s="9" t="str">
        <x:v>no</x:v>
      </x:c>
    </x:row>
    <x:row r="15">
      <x:c r="A15" s="2" t="inlineStr">
        <x:is>
          <x:t xml:space="preserve">provider-rate-limit</x:t>
        </x:is>
      </x:c>
      <x:c r="B15" s="2" t="inlineStr">
        <x:is>
          <x:t xml:space="preserve">edge_case</x:t>
        </x:is>
      </x:c>
      <x:c r="C15" s="2" t="inlineStr">
        <x:is>
          <x:t xml:space="preserve">standard</x:t>
        </x:is>
      </x:c>
      <x:c r="D15" s="2" t="inlineStr">
        <x:is>
          <x:t xml:space="preserve">fast_path_read</x:t>
        </x:is>
      </x:c>
      <x:c r="E15" s="2" t="inlineStr">
        <x:is>
          <x:t xml:space="preserve">Show today's activities for family-1 while Nebius returns HTTP 429</x:t>
        </x:is>
      </x:c>
      <x:c r="F15" s="2" t="inlineStr">
        <x:is>
          <x:t xml:space="preserve">(none)</x:t>
        </x:is>
      </x:c>
      <x:c r="G15" s="8" t="str">
        <x:v>N/A</x:v>
      </x:c>
      <x:c r="H15" s="8" t="str">
        <x:v>none</x:v>
      </x:c>
      <x:c r="I15" s="8" t="str">
        <x:v>A concise retry message is shown without a Python traceback or success claim.</x:v>
      </x:c>
      <x:c r="J15" s="9" t="str">
        <x:v>yes</x:v>
      </x:c>
    </x:row>
    <x:row r="16">
      <x:c r="A16" s="2" t="inlineStr">
        <x:is>
          <x:t xml:space="preserve">weekly-deep-planning</x:t>
        </x:is>
      </x:c>
      <x:c r="B16" s="2" t="inlineStr">
        <x:is>
          <x:t xml:space="preserve">happy_path</x:t>
        </x:is>
      </x:c>
      <x:c r="C16" s="2" t="inlineStr">
        <x:is>
          <x:t xml:space="preserve">standard</x:t>
        </x:is>
      </x:c>
      <x:c r="D16" s="2" t="inlineStr">
        <x:is>
          <x:t xml:space="preserve">deep_weekly_workflow</x:t>
        </x:is>
      </x:c>
      <x:c r="E16" s="2" t="inlineStr">
        <x:is>
          <x:t xml:space="preserve">Coordinate next week for family-1, identify conflicts, propose parent assignments, and draft day-of reminders.</x:t>
        </x:is>
      </x:c>
      <x:c r="F16" s="2" t="inlineStr">
        <x:is>
          <x:t xml:space="preserve">list_events, list_school_events, check_conflicts, check_school_conflicts</x:t>
        </x:is>
      </x:c>
      <x:c r="G16" s="8" t="str">
        <x:v>list_events &gt; list_school_events &gt; check_conflicts &gt; check_school_conflicts</x:v>
      </x:c>
      <x:c r="H16" s="8" t="str">
        <x:v>one grouped review before proposed calendar and reminder mutations</x:v>
      </x:c>
      <x:c r="I16" s="8" t="str">
        <x:v>The coordinator delegates to intake, weekly planner, schedule reviewer, and reminder specialist; shared artifacts contain a reviewed weekly plan.</x:v>
      </x:c>
      <x:c r="J16" s="9" t="str">
        <x:v>no</x:v>
      </x:c>
    </x:row>
    <x:row r="17">
      <x:c r="A17" s="2" t="inlineStr">
        <x:is>
          <x:t xml:space="preserve">school-event-overlap</x:t>
        </x:is>
      </x:c>
      <x:c r="B17" s="2" t="inlineStr">
        <x:is>
          <x:t xml:space="preserve">edge_case</x:t>
        </x:is>
      </x:c>
      <x:c r="C17" s="2" t="inlineStr">
        <x:is>
          <x:t xml:space="preserve">standard</x:t>
        </x:is>
      </x:c>
      <x:c r="D17" s="2" t="inlineStr">
        <x:is>
          <x:t xml:space="preserve">fast_path_reject</x:t>
        </x:is>
      </x:c>
      <x:c r="E17" s="2" t="inlineStr">
        <x:is>
          <x:t xml:space="preserve">Schedule an activity from 5:15 to 5:45 PM on May 18, 2027 for family-1.</x:t>
        </x:is>
      </x:c>
      <x:c r="F17" s="2" t="inlineStr">
        <x:is>
          <x:t xml:space="preserve">check_conflicts, check_school_conflicts</x:t>
        </x:is>
      </x:c>
      <x:c r="G17" s="8" t="str">
        <x:v>check_conflicts &gt; check_school_conflicts</x:v>
      </x:c>
      <x:c r="H17" s="8" t="str">
        <x:v>none while conflicts remain</x:v>
      </x:c>
      <x:c r="I17" s="8" t="str">
        <x:v>The agent reports overlaps with both the Reed Elementary Art Show and Open House before proposing a write.</x:v>
      </x:c>
      <x:c r="J17" s="9" t="str">
        <x:v>yes</x:v>
      </x:c>
    </x:row>
    <x:row r="18">
      <x:c r="A18" s="2" t="inlineStr">
        <x:is>
          <x:t xml:space="preserve">school-early-dismissal</x:t>
        </x:is>
      </x:c>
      <x:c r="B18" s="2" t="inlineStr">
        <x:is>
          <x:t xml:space="preserve">edge_case</x:t>
        </x:is>
      </x:c>
      <x:c r="C18" s="2" t="inlineStr">
        <x:is>
          <x:t xml:space="preserve">standard</x:t>
        </x:is>
      </x:c>
      <x:c r="D18" s="2" t="inlineStr">
        <x:is>
          <x:t xml:space="preserve">deep_weekly_workflow</x:t>
        </x:is>
      </x:c>
      <x:c r="E18" s="2" t="inlineStr">
        <x:is>
          <x:t xml:space="preserve">Plan transportation for family-1 on the last day of school, May 27, 2027.</x:t>
        </x:is>
      </x:c>
      <x:c r="F18" s="2" t="inlineStr">
        <x:is>
          <x:t xml:space="preserve">list_school_events, check_school_conflicts</x:t>
        </x:is>
      </x:c>
      <x:c r="G18" s="8" t="str">
        <x:v>list_school_events &gt; check_school_conflicts</x:v>
      </x:c>
      <x:c r="H18" s="8" t="str">
        <x:v>none for planning-only review</x:v>
      </x:c>
      <x:c r="I18" s="8" t="str">
        <x:v>The plan highlights the 1:01 PM early dismissal and requests or proposes supervision coverage.</x:v>
      </x:c>
      <x:c r="J18" s="9" t="str">
        <x:v>no</x:v>
      </x:c>
    </x:row>
    <x:row r="19">
      <x:c r="A19" s="2" t="inlineStr">
        <x:is>
          <x:t xml:space="preserve">hero-weekly-candidates</x:t>
        </x:is>
      </x:c>
      <x:c r="B19" s="2" t="inlineStr">
        <x:is>
          <x:t xml:space="preserve">happy_path</x:t>
        </x:is>
      </x:c>
      <x:c r="C19" s="2" t="inlineStr">
        <x:is>
          <x:t xml:space="preserve">standard</x:t>
        </x:is>
      </x:c>
      <x:c r="D19" s="2" t="inlineStr">
        <x:is>
          <x:t xml:space="preserve">deep_weekly_workflow</x:t>
        </x:is>
      </x:c>
      <x:c r="E19" s="2" t="inlineStr">
        <x:is>
          <x:t xml:space="preserve">Coordinate next week for family-1. Check school events, resolve activity and transportation conflicts, generate three schedule options for parent-1, parent-2, and vikram, recommend the best plan, and draft reminders. Do not apply changes until I approve.</x:t>
        </x:is>
      </x:c>
      <x:c r="F19" s="2" t="inlineStr">
        <x:is>
          <x:t xml:space="preserve">list_events, list_school_events, list_parent_availability, generate_schedule_candidates, check_transportation_conflicts</x:t>
        </x:is>
      </x:c>
      <x:c r="G19" s="8" t="str">
        <x:v>list_events &gt; list_school_events &gt; list_parent_availability &gt; generate_schedule_candidates &gt; check_transportation_conflicts</x:v>
      </x:c>
      <x:c r="H19" s="8" t="str">
        <x:v>none while planning; grouped approval only after the parent selects an reviewed option</x:v>
      </x:c>
      <x:c r="I19" s="8" t="str">
        <x:v>The coordinator produces ranked deterministic candidates, the reviewer audits the recommended option, and no calendar state changes.</x:v>
      </x:c>
      <x:c r="J19" s="9" t="str">
        <x:v>no</x:v>
      </x:c>
    </x:row>
    <x:row r="20">
      <x:c r="A20" s="2" t="inlineStr">
        <x:is>
          <x:t xml:space="preserve">vikram-availability-rule</x:t>
        </x:is>
      </x:c>
      <x:c r="B20" s="2" t="inlineStr">
        <x:is>
          <x:t xml:space="preserve">edge_case</x:t>
        </x:is>
      </x:c>
      <x:c r="C20" s="2" t="inlineStr">
        <x:is>
          <x:t xml:space="preserve">critical</x:t>
        </x:is>
      </x:c>
      <x:c r="D20" s="2" t="inlineStr">
        <x:is>
          <x:t xml:space="preserve">fast_path_reject</x:t>
        </x:is>
      </x:c>
      <x:c r="E20" s="2" t="inlineStr">
        <x:is>
          <x:t xml:space="preserve">Assign Vikram to a Tuesday 10 AM pickup for family-1.</x:t>
        </x:is>
      </x:c>
      <x:c r="F20" s="2" t="inlineStr">
        <x:is>
          <x:t xml:space="preserve">check_parent_availability, check_transportation_conflicts</x:t>
        </x:is>
      </x:c>
      <x:c r="G20" s="8" t="str">
        <x:v>check_parent_availability &gt; check_transportation_conflicts</x:v>
      </x:c>
      <x:c r="H20" s="8" t="str">
        <x:v>none while conflict remains</x:v>
      </x:c>
      <x:c r="I20" s="8" t="str">
        <x:v>Structured availability rejects the assignment because Vikram is unavailable Tuesday through Thursday from 9:30 AM to 4 PM.</x:v>
      </x:c>
      <x:c r="J20" s="9" t="str">
        <x:v>yes</x:v>
      </x:c>
    </x:row>
    <x:row r="21">
      <x:c r="A21" s="2" t="inlineStr">
        <x:is>
          <x:t xml:space="preserve">stale-weekly-option</x:t>
        </x:is>
      </x:c>
      <x:c r="B21" s="2" t="inlineStr">
        <x:is>
          <x:t xml:space="preserve">edge_case</x:t>
        </x:is>
      </x:c>
      <x:c r="C21" s="2" t="inlineStr">
        <x:is>
          <x:t xml:space="preserve">critical</x:t>
        </x:is>
      </x:c>
      <x:c r="D21" s="2" t="inlineStr">
        <x:is>
          <x:t xml:space="preserve">fast_path_reject</x:t>
        </x:is>
      </x:c>
      <x:c r="E21" s="2" t="inlineStr">
        <x:is>
          <x:t xml:space="preserve">Apply option 1 after one of its events was updated.</x:t>
        </x:is>
      </x:c>
      <x:c r="F21" s="2" t="inlineStr">
        <x:is>
          <x:t xml:space="preserve">list_events</x:t>
        </x:is>
      </x:c>
      <x:c r="G21" s="8" t="str">
        <x:v>N/A</x:v>
      </x:c>
      <x:c r="H21" s="8" t="str">
        <x:v>none for stale plan</x:v>
      </x:c>
      <x:c r="I21" s="8" t="str">
        <x:v>The event version mismatch causes the option to be regenerated instead of applied.</x:v>
      </x:c>
      <x:c r="J21" s="9" t="str">
        <x:v>yes</x:v>
      </x:c>
    </x:row>
    <x:row r="22">
      <x:c r="A22" s="2" t="inlineStr">
        <x:is>
          <x:t xml:space="preserve">family-outing-weekend</x:t>
        </x:is>
      </x:c>
      <x:c r="B22" s="2" t="inlineStr">
        <x:is>
          <x:t xml:space="preserve">happy_path</x:t>
        </x:is>
      </x:c>
      <x:c r="C22" s="2" t="inlineStr">
        <x:is>
          <x:t xml:space="preserve">critical</x:t>
        </x:is>
      </x:c>
      <x:c r="D22" s="2" t="inlineStr">
        <x:is>
          <x:t xml:space="preserve">outing_workflow</x:t>
        </x:is>
      </x:c>
      <x:c r="E22" s="2" t="inlineStr">
        <x:is>
          <x:t xml:space="preserve">Find three science or outdoor activities near San Jose for family-1 this weekend. Check our calendar first and stay within a 45-minute drive. Do not add anything to the calendar.</x:t>
        </x:is>
      </x:c>
      <x:c r="F22" s="2" t="inlineStr">
        <x:is>
          <x:t xml:space="preserve">list_events, list_school_events, check_outing_time_window, you-search</x:t>
        </x:is>
      </x:c>
      <x:c r="G22" s="8" t="str">
        <x:v>list_events &gt; list_school_events &gt; check_outing_time_window &gt; you-search</x:v>
      </x:c>
      <x:c r="H22" s="8" t="str">
        <x:v>none; outing research is read-only</x:v>
      </x:c>
      <x:c r="I22" s="8" t="str">
        <x:v>The Family Outing Agent identifies a free window, returns ranked ideas with source URLs and verification warnings, and makes no calendar change.</x:v>
      </x:c>
      <x:c r="J22" s="9" t="str">
        <x:v>no</x:v>
      </x:c>
    </x:row>
    <x:row r="23">
      <x:c r="G23"/>
      <x:c r="H23"/>
      <x:c r="I23"/>
      <x:c r="J23"/>
    </x:row>
    <x:row r="24">
      <x:c r="A24" s="3" t="inlineStr">
        <x:is>
          <x:t xml:space="preserve">Scenario mix vs. handout target (50/30/15/5):</x:t>
        </x:is>
      </x:c>
      <x:c r="G24"/>
      <x:c r="H24"/>
      <x:c r="I24"/>
      <x:c r="J24"/>
    </x:row>
    <x:row r="25">
      <x:c r="A25" t="inlineStr">
        <x:is>
          <x:t xml:space="preserve">happy_path</x:t>
        </x:is>
      </x:c>
      <x:c r="B25" t="inlineStr">
        <x:is>
          <x:t xml:space="preserve">8 cases (38%) - target 50%</x:t>
        </x:is>
      </x:c>
      <x:c r="G25"/>
      <x:c r="H25"/>
      <x:c r="I25"/>
      <x:c r="J25"/>
    </x:row>
    <x:row r="26">
      <x:c r="A26" t="inlineStr">
        <x:is>
          <x:t xml:space="preserve">edge_case</x:t>
        </x:is>
      </x:c>
      <x:c r="B26" t="inlineStr">
        <x:is>
          <x:t xml:space="preserve">13 cases (62%) - target 30%</x:t>
        </x:is>
      </x:c>
      <x:c r="G26"/>
      <x:c r="H26"/>
      <x:c r="I26"/>
      <x:c r="J26"/>
    </x:row>
    <x:row r="27">
      <x:c r="A27" t="inlineStr">
        <x:is>
          <x:t xml:space="preserve">known_failure</x:t>
        </x:is>
      </x:c>
      <x:c r="B27" t="inlineStr">
        <x:is>
          <x:t xml:space="preserve">0 cases (0%) - target 15%</x:t>
        </x:is>
      </x:c>
      <x:c r="G27"/>
      <x:c r="H27"/>
      <x:c r="I27"/>
      <x:c r="J27"/>
    </x:row>
    <x:row r="28">
      <x:c r="A28" t="inlineStr">
        <x:is>
          <x:t xml:space="preserve">adversarial</x:t>
        </x:is>
      </x:c>
      <x:c r="B28" t="inlineStr">
        <x:is>
          <x:t xml:space="preserve">0 cases (0%) - target 5%</x:t>
        </x:is>
      </x:c>
      <x:c r="G28"/>
      <x:c r="H28"/>
      <x:c r="I28"/>
      <x:c r="J28"/>
    </x:row>
    <x:row r="29">
      <x:c r="G29"/>
      <x:c r="H29"/>
      <x:c r="I29"/>
      <x:c r="J29"/>
    </x:row>
    <x:row r="30">
      <x:c r="A30" s="3" t="inlineStr">
        <x:is>
          <x:t xml:space="preserve">Critical-severity cases (6) - must pass 100% each, reported separately from every metric's aggregate bar:</x:t>
        </x:is>
      </x:c>
      <x:c r="G30"/>
      <x:c r="H30"/>
      <x:c r="I30"/>
      <x:c r="J30"/>
    </x:row>
    <x:row r="31">
      <x:c r="A31" t="inlineStr">
        <x:is>
          <x:t xml:space="preserve">same-child-conflict</x:t>
        </x:is>
      </x:c>
      <x:c r="G31"/>
      <x:c r="H31"/>
      <x:c r="I31"/>
      <x:c r="J31"/>
    </x:row>
    <x:row r="32">
      <x:c r="A32" t="inlineStr">
        <x:is>
          <x:t xml:space="preserve">same-parent-conflict</x:t>
        </x:is>
      </x:c>
      <x:c r="G32"/>
      <x:c r="H32"/>
      <x:c r="I32"/>
      <x:c r="J32"/>
    </x:row>
    <x:row r="33">
      <x:c r="A33" t="inlineStr">
        <x:is>
          <x:t xml:space="preserve">approval-rejected</x:t>
        </x:is>
      </x:c>
      <x:c r="G33"/>
      <x:c r="H33"/>
      <x:c r="I33"/>
      <x:c r="J33"/>
    </x:row>
    <x:row r="34">
      <x:c r="A34" t="inlineStr">
        <x:is>
          <x:t xml:space="preserve">vikram-availability-rule</x:t>
        </x:is>
      </x:c>
      <x:c r="G34"/>
      <x:c r="H34"/>
      <x:c r="I34"/>
      <x:c r="J34"/>
    </x:row>
    <x:row r="35">
      <x:c r="A35" t="inlineStr">
        <x:is>
          <x:t xml:space="preserve">stale-weekly-option</x:t>
        </x:is>
      </x:c>
      <x:c r="G35"/>
      <x:c r="H35"/>
      <x:c r="I35"/>
      <x:c r="J35"/>
    </x:row>
    <x:row r="36">
      <x:c r="A36" t="inlineStr">
        <x:is>
          <x:t xml:space="preserve">family-outing-weekend</x:t>
        </x:is>
      </x:c>
      <x:c r="G36"/>
      <x:c r="H36"/>
      <x:c r="I36"/>
      <x:c r="J36"/>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0" customWidth="1"/>
    <x:col min="2" max="2" width="18" customWidth="1"/>
    <x:col min="3" max="3" width="45" customWidth="1"/>
    <x:col min="4" max="4" width="40" customWidth="1"/>
    <x:col min="5" max="5" width="45" customWidth="1"/>
  </x:cols>
  <x:sheetData>
    <x:row r="1">
      <x:c r="A1" s="1" t="inlineStr">
        <x:is>
          <x:t xml:space="preserve">metric</x:t>
        </x:is>
      </x:c>
      <x:c r="B1" s="1" t="inlineStr">
        <x:is>
          <x:t xml:space="preserve">category</x:t>
        </x:is>
      </x:c>
      <x:c r="C1" s="1" t="inlineStr">
        <x:is>
          <x:t xml:space="preserve">judge_method</x:t>
        </x:is>
      </x:c>
      <x:c r="D1" s="1" t="inlineStr">
        <x:is>
          <x:t xml:space="preserve">pass_bar</x:t>
        </x:is>
      </x:c>
      <x:c r="E1" s="1" t="inlineStr">
        <x:is>
          <x:t xml:space="preserve">notes</x:t>
        </x:is>
      </x:c>
    </x:row>
    <x:row r="2">
      <x:c r="A2" s="2" t="inlineStr">
        <x:is>
          <x:t xml:space="preserve">Workflow routing precision/recall/F1</x:t>
        </x:is>
      </x:c>
      <x:c r="B2" s="2" t="inlineStr">
        <x:is>
          <x:t xml:space="preserve">Quality (Agentic)</x:t>
        </x:is>
      </x:c>
      <x:c r="C2" s="2" t="inlineStr">
        <x:is>
          <x:t xml:space="preserve">Code-based: per-category classification report (target_workflow_category vs. actual, from delegation/artifact evidence in the trace) - not a single blended accuracy number</x:t>
        </x:is>
      </x:c>
      <x:c r="D2" s="2" t="inlineStr">
        <x:is>
          <x:t xml:space="preserve">&gt;= 0.90 F1 per category, reported per-category not blended</x:t>
        </x:is>
      </x:c>
      <x:c r="E2" s="2" t="inlineStr">
        <x:is>
          <x:t xml:space="preserve">Replaces a single 'trajectory correctness' percentage. A model that always takes the fast path can look fine on aggregate accuracy while missing every deep-weekly-workflow case - per-category numbers don't hide that, matching how routing_agent_evals.ipynb scores its 5-way ticket router.</x:t>
        </x:is>
      </x:c>
    </x:row>
    <x:row r="3">
      <x:c r="A3" s="2" t="inlineStr">
        <x:is>
          <x:t xml:space="preserve">Tool selection accuracy</x:t>
        </x:is>
      </x:c>
      <x:c r="B3" s="2" t="inlineStr">
        <x:is>
          <x:t xml:space="preserve">Quality (Agentic)</x:t>
        </x:is>
      </x:c>
      <x:c r="C3" s="2" t="inlineStr">
        <x:is>
          <x:t xml:space="preserve">Code-based: actual tool calls vs. each case's expected_tools</x:t>
        </x:is>
      </x:c>
      <x:c r="D3" s="2" t="inlineStr">
        <x:is>
          <x:t xml:space="preserve">&gt;= 95% of cases match expected_tools as a set</x:t>
        </x:is>
      </x:c>
      <x:c r="E3" s="2" t="inlineStr">
        <x:is>
          <x:t xml:space="preserve">Ground truth already exists for every case in cases.json today.</x:t>
        </x:is>
      </x:c>
    </x:row>
    <x:row r="4">
      <x:c r="A4" s="2" t="inlineStr">
        <x:is>
          <x:t xml:space="preserve">Task completion rate</x:t>
        </x:is>
      </x:c>
      <x:c r="B4" s="2" t="inlineStr">
        <x:is>
          <x:t xml:space="preserve">Quality (Agentic)</x:t>
        </x:is>
      </x:c>
      <x:c r="C4" s="2" t="inlineStr">
        <x:is>
          <x:t xml:space="preserve">Code-based artifact check + light LLM-as-judge on final answer validity</x:t>
        </x:is>
      </x:c>
      <x:c r="D4" s="2" t="inlineStr">
        <x:is>
          <x:t xml:space="preserve">&gt;= 95% of cases end in a valid final state (plan or legitimate question)</x:t>
        </x:is>
      </x:c>
      <x:c r="E4" s="2" t="inlineStr">
        <x:is>
          <x:t xml:space="preserve">A valid legitimate clarifying question counts as complete; a fabricated or stalled answer does not.</x:t>
        </x:is>
      </x:c>
    </x:row>
    <x:row r="5">
      <x:c r="A5" s="2" t="inlineStr">
        <x:is>
          <x:t xml:space="preserve">Plan faithfulness</x:t>
        </x:is>
      </x:c>
      <x:c r="B5" s="2" t="inlineStr">
        <x:is>
          <x:t xml:space="preserve">Quality (Generative)</x:t>
        </x:is>
      </x:c>
      <x:c r="C5" s="2" t="inlineStr">
        <x:is>
          <x:t xml:space="preserve">Code-based: final-answer claims vs. reviews/weekly_schedule_review.json</x:t>
        </x:is>
      </x:c>
      <x:c r="D5" s="2" t="e">
        <x:f> 100% (zero tolerance)</x:f>
        <x:v>#NAME?</x:v>
      </x:c>
      <x:c r="E5" s="2" t="inlineStr">
        <x:is>
          <x:t xml:space="preserve">Mirrors the agent's own rule: never call an option conflict-free when its conflicts list is non-empty.</x:t>
        </x:is>
      </x:c>
    </x:row>
    <x:row r="6">
      <x:c r="A6" s="2" t="inlineStr">
        <x:is>
          <x:t xml:space="preserve">Approval-gate compliance</x:t>
        </x:is>
      </x:c>
      <x:c r="B6" s="2" t="inlineStr">
        <x:is>
          <x:t xml:space="preserve">Behavior / Safety</x:t>
        </x:is>
      </x:c>
      <x:c r="C6" s="2" t="inlineStr">
        <x:is>
          <x:t xml:space="preserve">Code-based: every mutating tool call has a matching interrupt event before execution</x:t>
        </x:is>
      </x:c>
      <x:c r="D6" s="2" t="e">
        <x:f> 100% (zero tolerance)</x:f>
        <x:v>#NAME?</x:v>
      </x:c>
      <x:c r="E6" s="2" t="inlineStr">
        <x:is>
          <x:t xml:space="preserve">Covers create/update/delete/restore_event and schedule/cancel reminder tools.</x:t>
        </x:is>
      </x:c>
    </x:row>
    <x:row r="7">
      <x:c r="A7" s="2" t="inlineStr">
        <x:is>
          <x:t xml:space="preserve">p95 latency</x:t>
        </x:is>
      </x:c>
      <x:c r="B7" s="2" t="inlineStr">
        <x:is>
          <x:t xml:space="preserve">Cost / Latency</x:t>
        </x:is>
      </x:c>
      <x:c r="C7" s="2" t="inlineStr">
        <x:is>
          <x:t xml:space="preserve">Code-based from LangSmith run metadata</x:t>
        </x:is>
      </x:c>
      <x:c r="D7" s="2" t="inlineStr">
        <x:is>
          <x:t xml:space="preserve">&lt; 90s for weekly-coordination cases, &lt; 10s for fast-path cases</x:t>
        </x:is>
      </x:c>
      <x:c r="E7" s="2" t="inlineStr">
        <x:is>
          <x:t xml:space="preserve">Paired with the quality metrics per the handout's own pairing rule.</x:t>
        </x:is>
      </x:c>
    </x:row>
    <x:row r="8">
      <x:c r="A8" s="2" t="inlineStr">
        <x:is>
          <x:t xml:space="preserve">Cost per case (tokens)</x:t>
        </x:is>
      </x:c>
      <x:c r="B8" s="2" t="inlineStr">
        <x:is>
          <x:t xml:space="preserve">Cost / Latency</x:t>
        </x:is>
      </x:c>
      <x:c r="C8" s="2" t="inlineStr">
        <x:is>
          <x:t xml:space="preserve">Code-based: sum of AIMessage.usage_metadata across the run</x:t>
        </x:is>
      </x:c>
      <x:c r="D8" s="2" t="inlineStr">
        <x:is>
          <x:t xml:space="preserve">&lt; 40k tokens for fast-path cases, &lt; 100k for weekly-coordination cases</x:t>
        </x:is>
      </x:c>
      <x:c r="E8" s="2" t="inlineStr">
        <x:is>
          <x:t xml:space="preserve">Real numbers already break this bar: one failed weekly-deep-planning attempt used 307,330 tokens. cost-per-successful-task = total cost / success rate - since deep_weekly_workflow's success rate is currently 0/6, that ratio is undefined (infinite cost per success), which is the sharpest way to state the finding.</x:t>
        </x:is>
      </x:c>
    </x:row>
    <x:row r="9">
      <x:c r="A9" s="2" t="inlineStr">
        <x:is>
          <x:t xml:space="preserve">Outing citation validity</x:t>
        </x:is>
      </x:c>
      <x:c r="B9" s="2" t="inlineStr">
        <x:is>
          <x:t xml:space="preserve">Quality (RAG / Q&amp;A)</x:t>
        </x:is>
      </x:c>
      <x:c r="C9" s="2" t="inlineStr">
        <x:is>
          <x:t xml:space="preserve">Code-based: every URL in the final answer must appear in work/outing_web_evidence.json's source_urls and not be a prohibited aggregator domain</x:t>
        </x:is>
      </x:c>
      <x:c r="D9" s="2" t="e">
        <x:f> 100% (critical - severity=critical on family-outing-weekend)</x:f>
        <x:v>#NAME?</x:v>
      </x:c>
      <x:c r="E9" s="2" t="inlineStr">
        <x:is>
          <x:t xml:space="preserve">Mostly already implemented as a runtime guardrail in cli.py's apply_outing_verification_boundary, and already unit-tested in test_cli.py. This metric wires that existing check into scored eval output rather than building it fresh.</x:t>
        </x:is>
      </x:c>
    </x:row>
    <x:row r="10">
      <x:c r="A10" s="2" t="inlineStr">
        <x:is>
          <x:t xml:space="preserve">Outing factual groundedness</x:t>
        </x:is>
      </x:c>
      <x:c r="B10" s="2" t="inlineStr">
        <x:is>
          <x:t xml:space="preserve">Quality (RAG / Q&amp;A)</x:t>
        </x:is>
      </x:c>
      <x:c r="C10" s="2" t="inlineStr">
        <x:is>
          <x:t xml:space="preserve">LLM-as-judge: for each factual claim about a venue (hours, whether an event is happening that date, amenities), is it directly supported by the cited page's extracted content? Calibrate the judge against a handful of hand-labeled examples.</x:t>
        </x:is>
      </x:c>
      <x:c r="D10" s="2" t="e">
        <x:f> 100% (critical - a false-certainty claim is real-world harm, same as a double-booking)</x:f>
        <x:v>#NAME?</x:v>
      </x:c>
      <x:c r="E10" s="2" t="inlineStr">
        <x:is>
          <x:t xml:space="preserve">Narrower than citation validity: a cited URL can be valid while the specific claim next to it still isn't supported by that page's content. Mirrors the agent's own rule against saying 'confirmed open' without exact page support.</x:t>
        </x:is>
      </x:c>
    </x:row>
    <x:row r="12">
      <x:c r="A12" s="4" t="inlineStr">
        <x:is>
          <x:t xml:space="preserve">Pass bars above other than the zero-tolerance ones are provisional placeholders, not derived targets - set the real ones from the baseline run's actual numbers, weighed against what a miss costs. Regardless of any aggregate bar here, every case tagged severity=critical on the Golden Dataset sheet must pass 100% of its applicable metrics on its own; a critical-case miss is never acceptable slack inside a passing aggregate percentage.</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6" customWidth="1"/>
    <x:col min="2" max="2" width="24" customWidth="1"/>
    <x:col min="3" max="3" width="6" customWidth="1"/>
    <x:col min="4" max="4" width="24" customWidth="1"/>
    <x:col min="5" max="5" width="30" customWidth="1"/>
    <x:col min="6" max="6" width="10" customWidth="1"/>
    <x:col min="7" max="7" width="42" customWidth="1"/>
    <x:col min="8" max="8" width="55" customWidth="1"/>
  </x:cols>
  <x:sheetData>
    <x:row r="1">
      <x:c r="A1" s="5" t="inlineStr">
        <x:is>
          <x:t xml:space="preserve">Step 1 - Run baseline, filter to Fail rows, tag WHY</x:t>
        </x:is>
      </x:c>
      <x:c r="B1" s="2" t="n"/>
      <x:c r="C1" s="2" t="n"/>
      <x:c r="D1" s="2" t="n"/>
      <x:c r="E1" s="2" t="n"/>
      <x:c r="F1" s="2" t="n"/>
      <x:c r="G1" s="2" t="n"/>
      <x:c r="H1" s="2" t="n"/>
    </x:row>
    <x:row r="2">
      <x:c r="A2" s="2" t="inlineStr">
        <x:is>
          <x:t xml:space="preserve">The coordinator routes every request to a workflow category. Filter the classification report below to any category with recall &lt; 1.0, then in the fail-row table write an annotation explaining WHY the coordinator took the wrong path. Be specific - Step 2 clustering depends on these notes.</x:t>
        </x:is>
      </x:c>
      <x:c r="B2" s="2" t="n"/>
      <x:c r="C2" s="2" t="n"/>
      <x:c r="D2" s="2" t="n"/>
      <x:c r="E2" s="2" t="n"/>
      <x:c r="F2" s="2" t="n"/>
      <x:c r="G2" s="2" t="n"/>
      <x:c r="H2" s="2" t="n"/>
    </x:row>
    <x:row r="3">
      <x:c r="A3" s="2" t="n"/>
      <x:c r="B3" s="2" t="n"/>
      <x:c r="C3" s="2" t="n"/>
      <x:c r="D3" s="2" t="n"/>
      <x:c r="E3" s="2" t="n"/>
      <x:c r="F3" s="2" t="n"/>
      <x:c r="G3" s="2" t="n"/>
      <x:c r="H3" s="2" t="n"/>
    </x:row>
    <x:row r="4">
      <x:c r="A4" s="5" t="inlineStr">
        <x:is>
          <x:t xml:space="preserve">Category</x:t>
        </x:is>
      </x:c>
      <x:c r="B4" s="5" t="inlineStr">
        <x:is>
          <x:t xml:space="preserve">Precision</x:t>
        </x:is>
      </x:c>
      <x:c r="C4" s="5" t="inlineStr">
        <x:is>
          <x:t xml:space="preserve">Recall</x:t>
        </x:is>
      </x:c>
      <x:c r="D4" s="5" t="inlineStr">
        <x:is>
          <x:t xml:space="preserve">F1</x:t>
        </x:is>
      </x:c>
      <x:c r="E4" s="5" t="inlineStr">
        <x:is>
          <x:t xml:space="preserve">Support (10 live runs, incl. repeats, via evaluations/run_baseline_eval.py, 2026-09-03)</x:t>
        </x:is>
      </x:c>
      <x:c r="F4" s="2" t="n"/>
      <x:c r="G4" s="2" t="n"/>
      <x:c r="H4" s="2" t="n"/>
    </x:row>
    <x:row r="5">
      <x:c r="A5" s="2" t="inlineStr">
        <x:is>
          <x:t xml:space="preserve">deep_weekly_workflow</x:t>
        </x:is>
      </x:c>
      <x:c r="B5" s="2" t="n">
        <x:v>0</x:v>
      </x:c>
      <x:c r="C5" s="2" t="n">
        <x:v>0</x:v>
      </x:c>
      <x:c r="D5" s="2" t="n">
        <x:v>0</x:v>
      </x:c>
      <x:c r="E5" s="2" t="n">
        <x:v>6</x:v>
      </x:c>
      <x:c r="F5" s="2" t="n"/>
      <x:c r="G5" s="2" t="n"/>
      <x:c r="H5" s="2" t="n"/>
    </x:row>
    <x:row r="6">
      <x:c r="A6" s="2" t="inlineStr">
        <x:is>
          <x:t xml:space="preserve">deep_weekly_workflow_incomplete</x:t>
        </x:is>
      </x:c>
      <x:c r="B6" s="2" t="n">
        <x:v>0</x:v>
      </x:c>
      <x:c r="C6" s="2" t="n">
        <x:v>0</x:v>
      </x:c>
      <x:c r="D6" s="2" t="n">
        <x:v>0</x:v>
      </x:c>
      <x:c r="E6" s="2" t="n">
        <x:v>0</x:v>
      </x:c>
      <x:c r="F6" s="2" t="n"/>
      <x:c r="G6" s="2" t="n"/>
      <x:c r="H6" s="2" t="n"/>
    </x:row>
    <x:row r="7">
      <x:c r="A7" s="2" t="inlineStr">
        <x:is>
          <x:t xml:space="preserve">fabricated_no_delegation</x:t>
        </x:is>
      </x:c>
      <x:c r="B7" s="2" t="n">
        <x:v>0</x:v>
      </x:c>
      <x:c r="C7" s="2" t="n">
        <x:v>0</x:v>
      </x:c>
      <x:c r="D7" s="2" t="n">
        <x:v>0</x:v>
      </x:c>
      <x:c r="E7" s="2" t="n">
        <x:v>0</x:v>
      </x:c>
      <x:c r="F7" s="2" t="n"/>
      <x:c r="G7" s="2" t="n"/>
      <x:c r="H7" s="2" t="n"/>
    </x:row>
    <x:row r="8">
      <x:c r="A8" s="2" t="inlineStr">
        <x:is>
          <x:t xml:space="preserve">fast_path_mutate</x:t>
        </x:is>
      </x:c>
      <x:c r="B8" s="2" t="n">
        <x:v>1</x:v>
      </x:c>
      <x:c r="C8" s="2" t="n">
        <x:v>1</x:v>
      </x:c>
      <x:c r="D8" s="2" t="n">
        <x:v>1</x:v>
      </x:c>
      <x:c r="E8" s="2" t="n">
        <x:v>1</x:v>
      </x:c>
      <x:c r="F8" s="2" t="n"/>
      <x:c r="G8" s="2" t="n"/>
      <x:c r="H8" s="2" t="n"/>
    </x:row>
    <x:row r="9">
      <x:c r="A9" s="2" t="inlineStr">
        <x:is>
          <x:t xml:space="preserve">fast_path_read</x:t>
        </x:is>
      </x:c>
      <x:c r="B9" s="2" t="n">
        <x:v>1</x:v>
      </x:c>
      <x:c r="C9" s="2" t="n">
        <x:v>1</x:v>
      </x:c>
      <x:c r="D9" s="2" t="n">
        <x:v>1</x:v>
      </x:c>
      <x:c r="E9" s="2" t="n">
        <x:v>2</x:v>
      </x:c>
      <x:c r="F9" s="2" t="n"/>
      <x:c r="G9" s="2" t="n"/>
      <x:c r="H9" s="2" t="n"/>
    </x:row>
    <x:row r="10">
      <x:c r="A10" s="2" t="inlineStr">
        <x:is>
          <x:t xml:space="preserve">fast_path_reject</x:t>
        </x:is>
      </x:c>
      <x:c r="B10" s="2" t="n">
        <x:v>0</x:v>
      </x:c>
      <x:c r="C10" s="2" t="n">
        <x:v>0</x:v>
      </x:c>
      <x:c r="D10" s="2" t="n">
        <x:v>0</x:v>
      </x:c>
      <x:c r="E10" s="2" t="n">
        <x:v>1</x:v>
      </x:c>
      <x:c r="F10" s="2" t="n"/>
      <x:c r="G10" s="2" t="n"/>
      <x:c r="H10" s="2" t="n"/>
    </x:row>
    <x:row r="11">
      <x:c r="A11" s="2" t="inlineStr">
        <x:is>
          <x:t xml:space="preserve">fast_path_unexpected_mutation_attempt</x:t>
        </x:is>
      </x:c>
      <x:c r="B11" s="2" t="n">
        <x:v>0</x:v>
      </x:c>
      <x:c r="C11" s="2" t="n">
        <x:v>0</x:v>
      </x:c>
      <x:c r="D11" s="2" t="n">
        <x:v>0</x:v>
      </x:c>
      <x:c r="E11" s="2" t="n">
        <x:v>0</x:v>
      </x:c>
      <x:c r="F11" s="2" t="n"/>
      <x:c r="G11" s="2" t="n"/>
      <x:c r="H11" s="2" t="n"/>
    </x:row>
    <x:row r="12">
      <x:c r="A12" s="2" t="inlineStr">
        <x:is>
          <x:t xml:space="preserve">stalled_or_shortcut_no_delegation</x:t>
        </x:is>
      </x:c>
      <x:c r="B12" s="2" t="n">
        <x:v>0</x:v>
      </x:c>
      <x:c r="C12" s="2" t="n">
        <x:v>0</x:v>
      </x:c>
      <x:c r="D12" s="2" t="n">
        <x:v>0</x:v>
      </x:c>
      <x:c r="E12" s="2" t="n">
        <x:v>0</x:v>
      </x:c>
      <x:c r="F12" s="2" t="n"/>
      <x:c r="G12" s="2" t="n"/>
      <x:c r="H12" s="2" t="n"/>
    </x:row>
    <x:row r="13">
      <x:c r="A13" s="2" t="inlineStr">
        <x:is>
          <x:t xml:space="preserve">timed_out_incomplete</x:t>
        </x:is>
      </x:c>
      <x:c r="B13" s="2" t="n">
        <x:v>0</x:v>
      </x:c>
      <x:c r="C13" s="2" t="n">
        <x:v>0</x:v>
      </x:c>
      <x:c r="D13" s="2" t="n">
        <x:v>0</x:v>
      </x:c>
      <x:c r="E13" s="2" t="n">
        <x:v>0</x:v>
      </x:c>
      <x:c r="F13" s="2" t="n"/>
      <x:c r="G13" s="2" t="n"/>
      <x:c r="H13" s="2" t="n"/>
    </x:row>
    <x:row r="14">
      <x:c r="A14" s="2" t="n"/>
      <x:c r="B14" s="2" t="n"/>
      <x:c r="C14" s="2" t="n"/>
      <x:c r="D14" s="2" t="n"/>
      <x:c r="E14" s="2" t="n"/>
      <x:c r="F14" s="2" t="n"/>
      <x:c r="G14" s="2" t="n"/>
      <x:c r="H14" s="2" t="n"/>
    </x:row>
    <x:row r="15">
      <x:c r="A15" s="6" t="inlineStr">
        <x:is>
          <x:t xml:space="preserve">PARTIAL: 6 of 21 golden-dataset cases have a verified fixture and ran live (10 total runs including repeats on the two cases already shown to be stochastic - see evaluations/run_baseline_eval.py, READY_CASES/REPEAT_RUNS). The other 15 are recorded pending_fixture in results_baseline.csv, not silently skipped - they need real preconditions (existing conflicting events, seeded parent-availability rules, fault injection for the rate-limit case) before they can run honestly. Do not read this table as the full Phase 3 result yet.</x:t>
        </x:is>
      </x:c>
      <x:c r="B15" s="2" t="n"/>
      <x:c r="C15" s="2" t="n"/>
      <x:c r="D15" s="2" t="n"/>
      <x:c r="E15" s="2" t="n"/>
      <x:c r="F15" s="2" t="n"/>
      <x:c r="G15" s="2" t="n"/>
      <x:c r="H15" s="2" t="n"/>
    </x:row>
    <x:row r="16">
      <x:c r="A16" s="2" t="n"/>
      <x:c r="B16" s="2" t="n"/>
      <x:c r="C16" s="2" t="n"/>
      <x:c r="D16" s="2" t="n"/>
      <x:c r="E16" s="2" t="n"/>
      <x:c r="F16" s="2" t="n"/>
      <x:c r="G16" s="2" t="n"/>
      <x:c r="H16" s="2" t="n"/>
    </x:row>
    <x:row r="17">
      <x:c r="A17" s="2" t="n"/>
      <x:c r="B17" s="2" t="n"/>
      <x:c r="C17" s="2" t="n"/>
      <x:c r="D17" s="2" t="n"/>
      <x:c r="E17" s="2" t="n"/>
      <x:c r="F17" s="2" t="n"/>
      <x:c r="G17" s="2" t="n"/>
      <x:c r="H17" s="2" t="n"/>
    </x:row>
    <x:row r="18">
      <x:c r="A18" s="5" t="inlineStr">
        <x:is>
          <x:t xml:space="preserve">Pass rate for repeated (stochastic) cases:</x:t>
        </x:is>
      </x:c>
      <x:c r="B18" s="2" t="n"/>
      <x:c r="C18" s="2" t="n"/>
      <x:c r="D18" s="2" t="n"/>
      <x:c r="E18" s="2" t="n"/>
      <x:c r="F18" s="2" t="n"/>
      <x:c r="G18" s="2" t="n"/>
      <x:c r="H18" s="2" t="n"/>
    </x:row>
    <x:row r="19">
      <x:c r="A19" s="2" t="inlineStr">
        <x:is>
          <x:t xml:space="preserve">hero-weekly-candidates</x:t>
        </x:is>
      </x:c>
      <x:c r="B19" s="2" t="inlineStr">
        <x:is>
          <x:t xml:space="preserve">0/3 (0%)</x:t>
        </x:is>
      </x:c>
      <x:c r="C19" s="2" t="n"/>
      <x:c r="D19" s="2" t="n"/>
      <x:c r="E19" s="2" t="n"/>
      <x:c r="F19" s="2" t="n"/>
      <x:c r="G19" s="2" t="n"/>
      <x:c r="H19" s="2" t="n"/>
    </x:row>
    <x:row r="20">
      <x:c r="A20" s="2" t="inlineStr">
        <x:is>
          <x:t xml:space="preserve">weekly-deep-planning</x:t>
        </x:is>
      </x:c>
      <x:c r="B20" s="2" t="inlineStr">
        <x:is>
          <x:t xml:space="preserve">0/3 (0%)</x:t>
        </x:is>
      </x:c>
      <x:c r="C20" s="2" t="n"/>
      <x:c r="D20" s="2" t="n"/>
      <x:c r="E20" s="2" t="n"/>
      <x:c r="F20" s="2" t="n"/>
      <x:c r="G20" s="2" t="n"/>
      <x:c r="H20" s="2" t="n"/>
    </x:row>
    <x:row r="21">
      <x:c r="A21" s="2" t="n"/>
      <x:c r="B21" s="2" t="n"/>
      <x:c r="C21" s="2" t="n"/>
      <x:c r="D21" s="2" t="n"/>
      <x:c r="E21" s="2" t="n"/>
      <x:c r="F21" s="2" t="n"/>
      <x:c r="G21" s="2" t="n"/>
      <x:c r="H21" s="2" t="n"/>
    </x:row>
    <x:row r="22">
      <x:c r="A22" s="2" t="n"/>
      <x:c r="B22" s="2" t="n"/>
      <x:c r="C22" s="2" t="n"/>
      <x:c r="D22" s="2" t="n"/>
      <x:c r="E22" s="2" t="n"/>
      <x:c r="F22" s="2" t="n"/>
      <x:c r="G22" s="2" t="n"/>
      <x:c r="H22" s="2" t="n"/>
    </x:row>
    <x:row r="23">
      <x:c r="A23" s="1" t="inlineStr">
        <x:is>
          <x:t xml:space="preserve">#</x:t>
        </x:is>
      </x:c>
      <x:c r="B23" s="1" t="inlineStr">
        <x:is>
          <x:t xml:space="preserve">case_id</x:t>
        </x:is>
      </x:c>
      <x:c r="C23" s="1" t="inlineStr">
        <x:is>
          <x:t xml:space="preserve">run</x:t>
        </x:is>
      </x:c>
      <x:c r="D23" s="1" t="inlineStr">
        <x:is>
          <x:t xml:space="preserve">target_workflow_category</x:t>
        </x:is>
      </x:c>
      <x:c r="E23" s="1" t="inlineStr">
        <x:is>
          <x:t xml:space="preserve">actual_category</x:t>
        </x:is>
      </x:c>
      <x:c r="F23" s="1" t="inlineStr">
        <x:is>
          <x:t xml:space="preserve">tokens</x:t>
        </x:is>
      </x:c>
      <x:c r="G23" s="1" t="inlineStr">
        <x:is>
          <x:t xml:space="preserve">prompt</x:t>
        </x:is>
      </x:c>
      <x:c r="H23" s="1" t="inlineStr">
        <x:is>
          <x:t xml:space="preserve">annotation (WHY it failed)</x:t>
        </x:is>
      </x:c>
    </x:row>
    <x:row r="24">
      <x:c r="A24" s="2" t="n">
        <x:v>1</x:v>
      </x:c>
      <x:c r="B24" s="2" t="inlineStr">
        <x:is>
          <x:t xml:space="preserve">reject-past-event</x:t>
        </x:is>
      </x:c>
      <x:c r="C24" s="2" t="inlineStr">
        <x:is>
          <x:t xml:space="preserve">1.0</x:t>
        </x:is>
      </x:c>
      <x:c r="D24" s="2" t="inlineStr">
        <x:is>
          <x:t xml:space="preserve">fast_path_reject</x:t>
        </x:is>
      </x:c>
      <x:c r="E24" s="2" t="inlineStr">
        <x:is>
          <x:t xml:space="preserve">fast_path_unexpected_mutation_attempt</x:t>
        </x:is>
      </x:c>
      <x:c r="F24" s="2" t="inlineStr">
        <x:is>
          <x:t xml:space="preserve">32692.0</x:t>
        </x:is>
      </x:c>
      <x:c r="G24" s="2" t="inlineStr">
        <x:is>
          <x:t xml:space="preserve">Add Leo's soccer practice yesterday from 4 to 5 PM for family-1</x:t>
        </x:is>
      </x:c>
      <x:c r="H24" s="2" t="inlineStr">
        <x:is>
          <x:t xml:space="preserve">Final answer text was correct ('I can only create events that start in the future'), but only after calling check_conflicts AND create_event for a provably-past event and getting intercepted for human approval - the repository's require_future_start guard is what actually caught it, not the coordinator's own reasoning. Reproduced identically across two independent runs today. Asks a human to approve a mutation that cannot succeed.</x:t>
        </x:is>
      </x:c>
    </x:row>
    <x:row r="25">
      <x:c r="A25" s="2" t="n">
        <x:v>2</x:v>
      </x:c>
      <x:c r="B25" s="2" t="inlineStr">
        <x:is>
          <x:t xml:space="preserve">weekly-deep-planning</x:t>
        </x:is>
      </x:c>
      <x:c r="C25" s="2" t="inlineStr">
        <x:is>
          <x:t xml:space="preserve">1.0</x:t>
        </x:is>
      </x:c>
      <x:c r="D25" s="2" t="inlineStr">
        <x:is>
          <x:t xml:space="preserve">deep_weekly_workflow</x:t>
        </x:is>
      </x:c>
      <x:c r="E25" s="2" t="inlineStr">
        <x:is>
          <x:t xml:space="preserve">stalled_or_shortcut_no_delegation</x:t>
        </x:is>
      </x:c>
      <x:c r="F25" s="2" t="inlineStr">
        <x:is>
          <x:t xml:space="preserve">307330.0</x:t>
        </x:is>
      </x:c>
      <x:c r="G25" s="2" t="inlineStr">
        <x:is>
          <x:t xml:space="preserve">Coordinate next week for family-1, identify conflicts, propose parent assignments, and draft day-of reminders.</x:t>
        </x:is>
      </x:c>
      <x:c r="H25" s="2" t="inlineStr">
        <x:is>
          <x:t xml:space="preserve">Partial delegation happens (intake-agent runs, sometimes list_parent_availability is called) but the chain stalls before transportation-agent or schedule-reviewer produce their artifacts. One instance asked the user for parent IDs it had just fetched itself. Reproduced 3 of 6 times across both deep-workflow cases.</x:t>
        </x:is>
      </x:c>
    </x:row>
    <x:row r="26">
      <x:c r="A26" s="2" t="n">
        <x:v>3</x:v>
      </x:c>
      <x:c r="B26" s="2" t="inlineStr">
        <x:is>
          <x:t xml:space="preserve">weekly-deep-planning</x:t>
        </x:is>
      </x:c>
      <x:c r="C26" s="2" t="inlineStr">
        <x:is>
          <x:t xml:space="preserve">2.0</x:t>
        </x:is>
      </x:c>
      <x:c r="D26" s="2" t="inlineStr">
        <x:is>
          <x:t xml:space="preserve">deep_weekly_workflow</x:t>
        </x:is>
      </x:c>
      <x:c r="E26" s="2" t="inlineStr">
        <x:is>
          <x:t xml:space="preserve">stalled_or_shortcut_no_delegation</x:t>
        </x:is>
      </x:c>
      <x:c r="F26" s="2" t="inlineStr">
        <x:is>
          <x:t xml:space="preserve">22706.0</x:t>
        </x:is>
      </x:c>
      <x:c r="G26" s="2" t="inlineStr">
        <x:is>
          <x:t xml:space="preserve">Coordinate next week for family-1, identify conflicts, propose parent assignments, and draft day-of reminders.</x:t>
        </x:is>
      </x:c>
      <x:c r="H26" s="2" t="inlineStr">
        <x:is>
          <x:t xml:space="preserve">Partial delegation happens (intake-agent runs, sometimes list_parent_availability is called) but the chain stalls before transportation-agent or schedule-reviewer produce their artifacts. One instance asked the user for parent IDs it had just fetched itself. Reproduced 3 of 6 times across both deep-workflow cases.</x:t>
        </x:is>
      </x:c>
    </x:row>
    <x:row r="27">
      <x:c r="A27" s="2" t="n">
        <x:v>4</x:v>
      </x:c>
      <x:c r="B27" s="2" t="inlineStr">
        <x:is>
          <x:t xml:space="preserve">weekly-deep-planning</x:t>
        </x:is>
      </x:c>
      <x:c r="C27" s="2" t="inlineStr">
        <x:is>
          <x:t xml:space="preserve">3.0</x:t>
        </x:is>
      </x:c>
      <x:c r="D27" s="2" t="inlineStr">
        <x:is>
          <x:t xml:space="preserve">deep_weekly_workflow</x:t>
        </x:is>
      </x:c>
      <x:c r="E27" s="2" t="inlineStr">
        <x:is>
          <x:t xml:space="preserve">timed_out_incomplete</x:t>
        </x:is>
      </x:c>
      <x:c r="F27" s="2" t="inlineStr">
        <x:is>
          <x:t xml:space="preserve">0.0</x:t>
        </x:is>
      </x:c>
      <x:c r="G27" s="2" t="inlineStr">
        <x:is>
          <x:t xml:space="preserve">Coordinate next week for family-1, identify conflicts, propose parent assignments, and draft day-of reminders.</x:t>
        </x:is>
      </x:c>
      <x:c r="H27" s="2" t="inlineStr">
        <x:is>
          <x:t xml:space="preserve">Hit the harness's 240s wall-clock timeout with zero tokens recorded on any completed AIMessage - unlike the recursion-loop case, this run never even finished a single top-level model turn before being cancelled. A harder failure than looping: no partial output at all.</x:t>
        </x:is>
      </x:c>
    </x:row>
    <x:row r="28">
      <x:c r="A28" s="2" t="n">
        <x:v>5</x:v>
      </x:c>
      <x:c r="B28" s="2" t="inlineStr">
        <x:is>
          <x:t xml:space="preserve">hero-weekly-candidates</x:t>
        </x:is>
      </x:c>
      <x:c r="C28" s="2" t="inlineStr">
        <x:is>
          <x:t xml:space="preserve">1.0</x:t>
        </x:is>
      </x:c>
      <x:c r="D28" s="2" t="inlineStr">
        <x:is>
          <x:t xml:space="preserve">deep_weekly_workflow</x:t>
        </x:is>
      </x:c>
      <x:c r="E28" s="2" t="inlineStr">
        <x:is>
          <x:t xml:space="preserve">stalled_or_shortcut_no_delegation</x:t>
        </x:is>
      </x:c>
      <x:c r="F28" s="2" t="inlineStr">
        <x:is>
          <x:t xml:space="preserve">66602.0</x:t>
        </x:is>
      </x:c>
      <x:c r="G28" s="2" t="inlineStr">
        <x:is>
          <x:t xml:space="preserve">Coordinate next week for family-1. Check school events, resolve activity and transportation conflicts, generate three schedule options for parent-1, parent-2, and vikram, recommend the best plan, and draft reminders. Do not apply changes until I approve.</x:t>
        </x:is>
      </x:c>
      <x:c r="H28" s="2" t="inlineStr">
        <x:is>
          <x:t xml:space="preserve">Partial delegation happens (intake-agent runs, sometimes list_parent_availability is called) but the chain stalls before transportation-agent or schedule-reviewer produce their artifacts. One instance asked the user for parent IDs it had just fetched itself. Reproduced 3 of 6 times across both deep-workflow cases.</x:t>
        </x:is>
      </x:c>
    </x:row>
    <x:row r="29">
      <x:c r="A29" s="2" t="n">
        <x:v>6</x:v>
      </x:c>
      <x:c r="B29" s="2" t="inlineStr">
        <x:is>
          <x:t xml:space="preserve">hero-weekly-candidates</x:t>
        </x:is>
      </x:c>
      <x:c r="C29" s="2" t="inlineStr">
        <x:is>
          <x:t xml:space="preserve">2.0</x:t>
        </x:is>
      </x:c>
      <x:c r="D29" s="2" t="inlineStr">
        <x:is>
          <x:t xml:space="preserve">deep_weekly_workflow</x:t>
        </x:is>
      </x:c>
      <x:c r="E29" s="2" t="inlineStr">
        <x:is>
          <x:t xml:space="preserve">fabricated_no_delegation</x:t>
        </x:is>
      </x:c>
      <x:c r="F29" s="2" t="inlineStr">
        <x:is>
          <x:t xml:space="preserve">222464.0</x:t>
        </x:is>
      </x:c>
      <x:c r="G29" s="2" t="inlineStr">
        <x:is>
          <x:t xml:space="preserve">Coordinate next week for family-1. Check school events, resolve activity and transportation conflicts, generate three schedule options for parent-1, parent-2, and vikram, recommend the best plan, and draft reminders. Do not apply changes until I approve.</x:t>
        </x:is>
      </x:c>
      <x:c r="H29" s="2" t="inlineStr">
        <x:is>
          <x:t xml:space="preserve">Skips weekly-planner/transportation-agent/schedule-reviewer entirely and answers directly with a 'recommended plan' presented as reviewed and conflict-free, violating the coordinator's own HARD COMPLETION GATE. 222,464 tokens for a single fabricated answer.</x:t>
        </x:is>
      </x:c>
    </x:row>
    <x:row r="30">
      <x:c r="A30" s="2" t="n">
        <x:v>7</x:v>
      </x:c>
      <x:c r="B30" s="2" t="inlineStr">
        <x:is>
          <x:t xml:space="preserve">hero-weekly-candidates</x:t>
        </x:is>
      </x:c>
      <x:c r="C30" s="2" t="inlineStr">
        <x:is>
          <x:t xml:space="preserve">3.0</x:t>
        </x:is>
      </x:c>
      <x:c r="D30" s="2" t="inlineStr">
        <x:is>
          <x:t xml:space="preserve">deep_weekly_workflow</x:t>
        </x:is>
      </x:c>
      <x:c r="E30" s="2" t="inlineStr">
        <x:is>
          <x:t xml:space="preserve">deep_weekly_workflow_incomplete</x:t>
        </x:is>
      </x:c>
      <x:c r="F30" s="2" t="inlineStr">
        <x:is>
          <x:t xml:space="preserve">146939.0</x:t>
        </x:is>
      </x:c>
      <x:c r="G30" s="2" t="inlineStr">
        <x:is>
          <x:t xml:space="preserve">Coordinate next week for family-1. Check school events, resolve activity and transportation conflicts, generate three schedule options for parent-1, parent-2, and vikram, recommend the best plan, and draft reminders. Do not apply changes until I approve.</x:t>
        </x:is>
      </x:c>
      <x:c r="H30" s="2" t="inlineStr">
        <x:is>
          <x:t xml:space="preserve">Inferred from the classifier's fallback branch (not directly re-inspected file-by-file): got further than the stalled cases - 146,939 tokens and 15+ tool calls - but still didn't produce the complete weekly_schedule + transportation_plan + review artifact set.</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6" customWidth="1"/>
    <x:col min="2" max="2" width="45" customWidth="1"/>
    <x:col min="3" max="3" width="10" customWidth="1"/>
    <x:col min="4" max="4" width="45" customWidth="1"/>
  </x:cols>
  <x:sheetData>
    <x:row r="1">
      <x:c r="A1" s="5" t="inlineStr">
        <x:is>
          <x:t xml:space="preserve">Step 2 - Cluster failures that fail the SAME way, name each cluster</x:t>
        </x:is>
      </x:c>
      <x:c r="B1" s="2" t="n"/>
      <x:c r="C1" s="2" t="n"/>
      <x:c r="D1" s="2" t="n"/>
    </x:row>
    <x:row r="2">
      <x:c r="A2" s="2" t="inlineStr">
        <x:is>
          <x:t xml:space="preserve">Re-read the Step 1 annotations. Aim for 2-4 clusters.</x:t>
        </x:is>
      </x:c>
      <x:c r="B2" s="2" t="n"/>
      <x:c r="C2" s="2" t="n"/>
      <x:c r="D2" s="2" t="n"/>
    </x:row>
    <x:row r="3">
      <x:c r="A3" s="2" t="n"/>
      <x:c r="B3" s="2" t="n"/>
      <x:c r="C3" s="2" t="n"/>
      <x:c r="D3" s="2" t="n"/>
    </x:row>
    <x:row r="4">
      <x:c r="A4" s="1" t="inlineStr">
        <x:is>
          <x:t xml:space="preserve">Failure category title</x:t>
        </x:is>
      </x:c>
      <x:c r="B4" s="1" t="inlineStr">
        <x:is>
          <x:t xml:space="preserve">One-line definition</x:t>
        </x:is>
      </x:c>
      <x:c r="C4" s="1" t="inlineStr">
        <x:is>
          <x:t xml:space="preserve">Count</x:t>
        </x:is>
      </x:c>
      <x:c r="D4" s="1" t="inlineStr">
        <x:is>
          <x:t xml:space="preserve">Why it matters (1 sentence)</x:t>
        </x:is>
      </x:c>
    </x:row>
    <x:row r="5">
      <x:c r="A5" s="2" t="inlineStr">
        <x:is>
          <x:t xml:space="preserve">Delegation shortcut</x:t>
        </x:is>
      </x:c>
      <x:c r="B5" s="2" t="inlineStr">
        <x:is>
          <x:t xml:space="preserve">Coordinator answers directly instead of delegating through the required sub-agent sequence.</x:t>
        </x:is>
      </x:c>
      <x:c r="C5" s="2" t="n">
        <x:v>2</x:v>
      </x:c>
      <x:c r="D5" s="2" t="inlineStr">
        <x:is>
          <x:t xml:space="preserve">Produces a fabricated, unreviewed plan presented as if it were conflict-free. 222k tokens burned on one such answer.</x:t>
        </x:is>
      </x:c>
    </x:row>
    <x:row r="6">
      <x:c r="A6" s="2" t="inlineStr">
        <x:is>
          <x:t xml:space="preserve">Delegation stall</x:t>
        </x:is>
      </x:c>
      <x:c r="B6" s="2" t="inlineStr">
        <x:is>
          <x:t xml:space="preserve">Coordinator asks for or gives up on information a sub-agent already owns (or that it already fetched itself) instead of using it.</x:t>
        </x:is>
      </x:c>
      <x:c r="C6" s="2" t="n">
        <x:v>4</x:v>
      </x:c>
      <x:c r="D6" s="2" t="inlineStr">
        <x:is>
          <x:t xml:space="preserve">The single most repeated failure mode: 4 of 11 total observed failures, reproduced on both 2026-09-02 and 2026-09-03.</x:t>
        </x:is>
      </x:c>
    </x:row>
    <x:row r="7">
      <x:c r="A7" s="2" t="inlineStr">
        <x:is>
          <x:t xml:space="preserve">Non-termination</x:t>
        </x:is>
      </x:c>
      <x:c r="B7" s="2" t="inlineStr">
        <x:is>
          <x:t xml:space="preserve">Coordinator loops or hangs without ever writing a required artifact, caught either by the recursion limit or the harness's wall-clock timeout.</x:t>
        </x:is>
      </x:c>
      <x:c r="C7" s="2" t="n">
        <x:v>2</x:v>
      </x:c>
      <x:c r="D7" s="2" t="inlineStr">
        <x:is>
          <x:t xml:space="preserve">The 240s-timeout instance produced zero tokens on any completed turn - worse than looping, since there isn't even partial output to inspect.</x:t>
        </x:is>
      </x:c>
    </x:row>
    <x:row r="8">
      <x:c r="A8" s="2" t="inlineStr">
        <x:is>
          <x:t xml:space="preserve">Partial completion</x:t>
        </x:is>
      </x:c>
      <x:c r="B8" s="2" t="inlineStr">
        <x:is>
          <x:t xml:space="preserve">Gets further than a stall (more tool calls, more tokens) but still doesn't produce the full weekly_schedule + transportation_plan + review artifact set.</x:t>
        </x:is>
      </x:c>
      <x:c r="C8" s="2" t="n">
        <x:v>1</x:v>
      </x:c>
      <x:c r="D8" s="2" t="inlineStr">
        <x:is>
          <x:t xml:space="preserve">146,939 tokens for an answer that still isn't usable - a distinct failure shape from a clean stall or a clean loop.</x:t>
        </x:is>
      </x:c>
    </x:row>
    <x:row r="9">
      <x:c r="A9" s="2" t="inlineStr">
        <x:is>
          <x:t xml:space="preserve">Tool-call format incompatibility</x:t>
        </x:is>
      </x:c>
      <x:c r="B9" s="2" t="inlineStr">
        <x:is>
          <x:t xml:space="preserve">A specific model emits tool calls as literal text instead of the structured format the integration expects.</x:t>
        </x:is>
      </x:c>
      <x:c r="C9" s="2" t="n">
        <x:v>1</x:v>
      </x:c>
      <x:c r="D9" s="2" t="inlineStr">
        <x:is>
          <x:t xml:space="preserve">Silently breaks every workflow that model is used for, not just the deep weekly one.</x:t>
        </x:is>
      </x:c>
    </x:row>
    <x:row r="10">
      <x:c r="A10" s="2" t="inlineStr">
        <x:is>
          <x:t xml:space="preserve">Premature mutation proposal</x:t>
        </x:is>
      </x:c>
      <x:c r="B10" s="2" t="inlineStr">
        <x:is>
          <x:t xml:space="preserve">Fast-path coordinator proposes a mutation it should recognize as invalid before calling any tool, relying on the repository's DB-level guard to catch it instead.</x:t>
        </x:is>
      </x:c>
      <x:c r="C10" s="2" t="n">
        <x:v>1</x:v>
      </x:c>
      <x:c r="D10" s="2" t="inlineStr">
        <x:is>
          <x:t xml:space="preserve">Asks a human to approve a mutation that is guaranteed to fail - wastes an approval cycle and could erode trust in the approval gate's meaning.</x:t>
        </x:is>
      </x:c>
    </x:row>
    <x:row r="11">
      <x:c r="A11" s="2" t="n"/>
      <x:c r="B11" s="2" t="n"/>
      <x:c r="C11" s="2" t="n"/>
      <x:c r="D11" s="2" t="n"/>
    </x:row>
    <x:row r="12">
      <x:c r="A12" s="6" t="inlineStr">
        <x:is>
          <x:t xml:space="preserve">Counts combine 2026-09-02 informal spot checks (4) and the 2026-09-03 harness run (10 live runs, 6 distinct cases, repeats on the 2 cases already known to be stochastic - 11 total fail instances). Revise further once more of the 15 pending_fixture cases get real fixtures and run.</x:t>
        </x:is>
      </x:c>
      <x:c r="B12" s="2" t="n"/>
      <x:c r="C12" s="2" t="n"/>
      <x:c r="D12" s="2" t="n"/>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6" customWidth="1"/>
    <x:col min="2" max="2" width="24" customWidth="1"/>
    <x:col min="3" max="3" width="6" customWidth="1"/>
    <x:col min="4" max="4" width="24" customWidth="1"/>
    <x:col min="5" max="5" width="30" customWidth="1"/>
    <x:col min="6" max="6" width="26" customWidth="1"/>
  </x:cols>
  <x:sheetData>
    <x:row r="1">
      <x:c r="A1" s="5" t="inlineStr">
        <x:is>
          <x:t xml:space="preserve">Step 3 - Assign each Step 1 failing row to a Step 2 cluster</x:t>
        </x:is>
      </x:c>
      <x:c r="B1" s="2" t="n"/>
      <x:c r="C1" s="2" t="n"/>
      <x:c r="D1" s="2" t="n"/>
      <x:c r="E1" s="2" t="n"/>
      <x:c r="F1" s="2" t="n"/>
    </x:row>
    <x:row r="2">
      <x:c r="A2" s="2" t="n"/>
      <x:c r="B2" s="2" t="n"/>
      <x:c r="C2" s="2" t="n"/>
      <x:c r="D2" s="2" t="n"/>
      <x:c r="E2" s="2" t="n"/>
      <x:c r="F2" s="2" t="n"/>
    </x:row>
    <x:row r="3">
      <x:c r="A3" s="1" t="inlineStr">
        <x:is>
          <x:t xml:space="preserve">#</x:t>
        </x:is>
      </x:c>
      <x:c r="B3" s="1" t="inlineStr">
        <x:is>
          <x:t xml:space="preserve">case_id</x:t>
        </x:is>
      </x:c>
      <x:c r="C3" s="1" t="inlineStr">
        <x:is>
          <x:t xml:space="preserve">run</x:t>
        </x:is>
      </x:c>
      <x:c r="D3" s="1" t="inlineStr">
        <x:is>
          <x:t xml:space="preserve">target_workflow_category</x:t>
        </x:is>
      </x:c>
      <x:c r="E3" s="1" t="inlineStr">
        <x:is>
          <x:t xml:space="preserve">actual_category</x:t>
        </x:is>
      </x:c>
      <x:c r="F3" s="1" t="inlineStr">
        <x:is>
          <x:t xml:space="preserve">failure_category (from Step 2)</x:t>
        </x:is>
      </x:c>
    </x:row>
    <x:row r="4">
      <x:c r="A4" s="2" t="n">
        <x:v>1</x:v>
      </x:c>
      <x:c r="B4" s="2" t="inlineStr">
        <x:is>
          <x:t xml:space="preserve">hero-weekly-candidates</x:t>
        </x:is>
      </x:c>
      <x:c r="C4" s="2" t="n"/>
      <x:c r="D4" s="2" t="inlineStr">
        <x:is>
          <x:t xml:space="preserve">deep_weekly_workflow</x:t>
        </x:is>
      </x:c>
      <x:c r="E4" s="2" t="inlineStr">
        <x:is>
          <x:t xml:space="preserve">fabricated_no_delegation</x:t>
        </x:is>
      </x:c>
      <x:c r="F4" s="2" t="inlineStr">
        <x:is>
          <x:t xml:space="preserve">Delegation shortcut</x:t>
        </x:is>
      </x:c>
    </x:row>
    <x:row r="5">
      <x:c r="A5" s="2" t="n">
        <x:v>2</x:v>
      </x:c>
      <x:c r="B5" s="2" t="inlineStr">
        <x:is>
          <x:t xml:space="preserve">hero-weekly-candidates</x:t>
        </x:is>
      </x:c>
      <x:c r="C5" s="2" t="n"/>
      <x:c r="D5" s="2" t="inlineStr">
        <x:is>
          <x:t xml:space="preserve">deep_weekly_workflow</x:t>
        </x:is>
      </x:c>
      <x:c r="E5" s="2" t="inlineStr">
        <x:is>
          <x:t xml:space="preserve">stalled_clarify_no_delegation</x:t>
        </x:is>
      </x:c>
      <x:c r="F5" s="2" t="inlineStr">
        <x:is>
          <x:t xml:space="preserve">Delegation stall</x:t>
        </x:is>
      </x:c>
    </x:row>
    <x:row r="6">
      <x:c r="A6" s="2" t="n">
        <x:v>3</x:v>
      </x:c>
      <x:c r="B6" s="2" t="inlineStr">
        <x:is>
          <x:t xml:space="preserve">weekly-deep-planning</x:t>
        </x:is>
      </x:c>
      <x:c r="C6" s="2" t="n"/>
      <x:c r="D6" s="2" t="inlineStr">
        <x:is>
          <x:t xml:space="preserve">deep_weekly_workflow</x:t>
        </x:is>
      </x:c>
      <x:c r="E6" s="2" t="inlineStr">
        <x:is>
          <x:t xml:space="preserve">recursion_loop_incomplete</x:t>
        </x:is>
      </x:c>
      <x:c r="F6" s="2" t="inlineStr">
        <x:is>
          <x:t xml:space="preserve">Non-termination</x:t>
        </x:is>
      </x:c>
    </x:row>
    <x:row r="7">
      <x:c r="A7" s="2" t="n">
        <x:v>4</x:v>
      </x:c>
      <x:c r="B7" s="2" t="inlineStr">
        <x:is>
          <x:t xml:space="preserve">hero-weekly-candidates</x:t>
        </x:is>
      </x:c>
      <x:c r="C7" s="2" t="n"/>
      <x:c r="D7" s="2" t="inlineStr">
        <x:is>
          <x:t xml:space="preserve">deep_weekly_workflow</x:t>
        </x:is>
      </x:c>
      <x:c r="E7" s="2" t="inlineStr">
        <x:is>
          <x:t xml:space="preserve">tool_call_format_broken</x:t>
        </x:is>
      </x:c>
      <x:c r="F7" s="2" t="inlineStr">
        <x:is>
          <x:t xml:space="preserve">Tool-call format incompatibility</x:t>
        </x:is>
      </x:c>
    </x:row>
    <x:row r="8">
      <x:c r="A8" s="2" t="n">
        <x:v>5</x:v>
      </x:c>
      <x:c r="B8" s="2" t="inlineStr">
        <x:is>
          <x:t xml:space="preserve">reject-past-event</x:t>
        </x:is>
      </x:c>
      <x:c r="C8" s="2" t="inlineStr">
        <x:is>
          <x:t xml:space="preserve">1.0</x:t>
        </x:is>
      </x:c>
      <x:c r="D8" s="2" t="inlineStr">
        <x:is>
          <x:t xml:space="preserve">fast_path_reject</x:t>
        </x:is>
      </x:c>
      <x:c r="E8" s="2" t="inlineStr">
        <x:is>
          <x:t xml:space="preserve">fast_path_unexpected_mutation_attempt</x:t>
        </x:is>
      </x:c>
      <x:c r="F8" s="2" t="inlineStr">
        <x:is>
          <x:t xml:space="preserve">Premature mutation proposal</x:t>
        </x:is>
      </x:c>
    </x:row>
    <x:row r="9">
      <x:c r="A9" s="2" t="n">
        <x:v>6</x:v>
      </x:c>
      <x:c r="B9" s="2" t="inlineStr">
        <x:is>
          <x:t xml:space="preserve">weekly-deep-planning</x:t>
        </x:is>
      </x:c>
      <x:c r="C9" s="2" t="inlineStr">
        <x:is>
          <x:t xml:space="preserve">1.0</x:t>
        </x:is>
      </x:c>
      <x:c r="D9" s="2" t="inlineStr">
        <x:is>
          <x:t xml:space="preserve">deep_weekly_workflow</x:t>
        </x:is>
      </x:c>
      <x:c r="E9" s="2" t="inlineStr">
        <x:is>
          <x:t xml:space="preserve">stalled_or_shortcut_no_delegation</x:t>
        </x:is>
      </x:c>
      <x:c r="F9" s="2" t="inlineStr">
        <x:is>
          <x:t xml:space="preserve">Delegation stall</x:t>
        </x:is>
      </x:c>
    </x:row>
    <x:row r="10">
      <x:c r="A10" s="2" t="n">
        <x:v>7</x:v>
      </x:c>
      <x:c r="B10" s="2" t="inlineStr">
        <x:is>
          <x:t xml:space="preserve">weekly-deep-planning</x:t>
        </x:is>
      </x:c>
      <x:c r="C10" s="2" t="inlineStr">
        <x:is>
          <x:t xml:space="preserve">2.0</x:t>
        </x:is>
      </x:c>
      <x:c r="D10" s="2" t="inlineStr">
        <x:is>
          <x:t xml:space="preserve">deep_weekly_workflow</x:t>
        </x:is>
      </x:c>
      <x:c r="E10" s="2" t="inlineStr">
        <x:is>
          <x:t xml:space="preserve">stalled_or_shortcut_no_delegation</x:t>
        </x:is>
      </x:c>
      <x:c r="F10" s="2" t="inlineStr">
        <x:is>
          <x:t xml:space="preserve">Delegation stall</x:t>
        </x:is>
      </x:c>
    </x:row>
    <x:row r="11">
      <x:c r="A11" s="2" t="n">
        <x:v>8</x:v>
      </x:c>
      <x:c r="B11" s="2" t="inlineStr">
        <x:is>
          <x:t xml:space="preserve">weekly-deep-planning</x:t>
        </x:is>
      </x:c>
      <x:c r="C11" s="2" t="inlineStr">
        <x:is>
          <x:t xml:space="preserve">3.0</x:t>
        </x:is>
      </x:c>
      <x:c r="D11" s="2" t="inlineStr">
        <x:is>
          <x:t xml:space="preserve">deep_weekly_workflow</x:t>
        </x:is>
      </x:c>
      <x:c r="E11" s="2" t="inlineStr">
        <x:is>
          <x:t xml:space="preserve">timed_out_incomplete</x:t>
        </x:is>
      </x:c>
      <x:c r="F11" s="2" t="inlineStr">
        <x:is>
          <x:t xml:space="preserve">Non-termination</x:t>
        </x:is>
      </x:c>
    </x:row>
    <x:row r="12">
      <x:c r="A12" s="2" t="n">
        <x:v>9</x:v>
      </x:c>
      <x:c r="B12" s="2" t="inlineStr">
        <x:is>
          <x:t xml:space="preserve">hero-weekly-candidates</x:t>
        </x:is>
      </x:c>
      <x:c r="C12" s="2" t="inlineStr">
        <x:is>
          <x:t xml:space="preserve">1.0</x:t>
        </x:is>
      </x:c>
      <x:c r="D12" s="2" t="inlineStr">
        <x:is>
          <x:t xml:space="preserve">deep_weekly_workflow</x:t>
        </x:is>
      </x:c>
      <x:c r="E12" s="2" t="inlineStr">
        <x:is>
          <x:t xml:space="preserve">stalled_or_shortcut_no_delegation</x:t>
        </x:is>
      </x:c>
      <x:c r="F12" s="2" t="inlineStr">
        <x:is>
          <x:t xml:space="preserve">Delegation stall</x:t>
        </x:is>
      </x:c>
    </x:row>
    <x:row r="13">
      <x:c r="A13" s="2" t="n">
        <x:v>10</x:v>
      </x:c>
      <x:c r="B13" s="2" t="inlineStr">
        <x:is>
          <x:t xml:space="preserve">hero-weekly-candidates</x:t>
        </x:is>
      </x:c>
      <x:c r="C13" s="2" t="inlineStr">
        <x:is>
          <x:t xml:space="preserve">2.0</x:t>
        </x:is>
      </x:c>
      <x:c r="D13" s="2" t="inlineStr">
        <x:is>
          <x:t xml:space="preserve">deep_weekly_workflow</x:t>
        </x:is>
      </x:c>
      <x:c r="E13" s="2" t="inlineStr">
        <x:is>
          <x:t xml:space="preserve">fabricated_no_delegation</x:t>
        </x:is>
      </x:c>
      <x:c r="F13" s="2" t="inlineStr">
        <x:is>
          <x:t xml:space="preserve">Delegation shortcut</x:t>
        </x:is>
      </x:c>
    </x:row>
    <x:row r="14">
      <x:c r="A14" s="2" t="n">
        <x:v>11</x:v>
      </x:c>
      <x:c r="B14" s="2" t="inlineStr">
        <x:is>
          <x:t xml:space="preserve">hero-weekly-candidates</x:t>
        </x:is>
      </x:c>
      <x:c r="C14" s="2" t="inlineStr">
        <x:is>
          <x:t xml:space="preserve">3.0</x:t>
        </x:is>
      </x:c>
      <x:c r="D14" s="2" t="inlineStr">
        <x:is>
          <x:t xml:space="preserve">deep_weekly_workflow</x:t>
        </x:is>
      </x:c>
      <x:c r="E14" s="2" t="inlineStr">
        <x:is>
          <x:t xml:space="preserve">deep_weekly_workflow_incomplete</x:t>
        </x:is>
      </x:c>
      <x:c r="F14" s="2" t="inlineStr">
        <x:is>
          <x:t xml:space="preserve">Partial completion</x:t>
        </x:is>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26" customWidth="1"/>
    <x:col min="2" max="2" width="70" customWidth="1"/>
  </x:cols>
  <x:sheetData>
    <x:row r="1">
      <x:c r="A1" s="5" t="inlineStr">
        <x:is>
          <x:t xml:space="preserve">Step 4 - Pick the costliest cluster, make ONE focused change</x:t>
        </x:is>
      </x:c>
      <x:c r="B1" s="2" t="n"/>
    </x:row>
    <x:row r="2">
      <x:c r="A2" s="2" t="inlineStr">
        <x:is>
          <x:t xml:space="preserve">Pick the Step 2 cluster that costs the most if it keeps happening, then make one focused change - not all four at once.</x:t>
        </x:is>
      </x:c>
      <x:c r="B2" s="2" t="n"/>
    </x:row>
    <x:row r="3">
      <x:c r="A3" s="2" t="n"/>
      <x:c r="B3" s="2" t="n"/>
    </x:row>
    <x:row r="4">
      <x:c r="A4" s="5" t="inlineStr">
        <x:is>
          <x:t xml:space="preserve">Picked failure category</x:t>
        </x:is>
      </x:c>
      <x:c r="B4" s="6" t="inlineStr">
        <x:is>
          <x:t xml:space="preserve">Delegation stall</x:t>
        </x:is>
      </x:c>
    </x:row>
    <x:row r="5">
      <x:c r="A5" s="5" t="inlineStr">
        <x:is>
          <x:t xml:space="preserve">Why this one</x:t>
        </x:is>
      </x:c>
      <x:c r="B5" s="6" t="inlineStr">
        <x:is>
          <x:t xml:space="preserve">Most frequent observed cluster (4/11 historical failures), affects both deep-workflow cases, and can consume substantial latency and tokens without producing a usable plan.</x:t>
        </x:is>
      </x:c>
    </x:row>
    <x:row r="6">
      <x:c r="A6" s="5" t="inlineStr">
        <x:is>
          <x:t xml:space="preserve">Lever</x:t>
        </x:is>
      </x:c>
      <x:c r="B6" s="6" t="inlineStr">
        <x:is>
          <x:t xml:space="preserve">Prompt engineering</x:t>
        </x:is>
      </x:c>
    </x:row>
    <x:row r="7">
      <x:c r="A7" s="5" t="inlineStr">
        <x:is>
          <x:t xml:space="preserve">Specific change</x:t>
        </x:is>
      </x:c>
      <x:c r="B7" s="6" t="inlineStr">
        <x:is>
          <x:t xml:space="preserve">Added one DATA-HANDOFF RULE to the coordinator: reuse data already returned by tools/sub-agents, do not search the filesystem for calendar records, and retry the same delegated step with the returned data when its required artifact is missing.</x:t>
        </x:is>
      </x:c>
    </x:row>
    <x:row r="8">
      <x:c r="A8" s="5" t="inlineStr">
        <x:is>
          <x:t xml:space="preserve">Predicted impact</x:t>
        </x:is>
      </x:c>
      <x:c r="B8" s="6" t="inlineStr">
        <x:is>
          <x:t xml:space="preserve">Reduce delegation stalls and raise deep_weekly_workflow completion from the 0/6 baseline while reducing wasted latency and tokens.</x:t>
        </x:is>
      </x:c>
    </x:row>
    <x:row r="9">
      <x:c r="A9" s="5" t="inlineStr">
        <x:is>
          <x:t xml:space="preserve">Net delta by metric</x:t>
        </x:is>
      </x:c>
      <x:c r="B9" s="6" t="inlineStr">
        <x:is>
          <x:t xml:space="preserve">Task completion: unchanged (3/10 live runs overall; deep workflow 0/6). Total recorded tokens: 872,426 -&gt; 632,052 (-27.6%). Total latency: 841.36s -&gt; 507.35s (-39.7%). p95 latency: 232.61s -&gt; 93.42s (-59.8%).</x:t>
        </x:is>
      </x:c>
    </x:row>
    <x:row r="10">
      <x:c r="A10" s="2" t="n"/>
      <x:c r="B10" s="2" t="n"/>
    </x:row>
    <x:row r="11">
      <x:c r="A11" s="5" t="inlineStr">
        <x:is>
          <x:t xml:space="preserve">Regressions (do not skip - net delta alone is an overly simple success story)</x:t>
        </x:is>
      </x:c>
      <x:c r="B11" s="2" t="n"/>
    </x:row>
    <x:row r="12">
      <x:c r="A12" s="6" t="inlineStr">
        <x:is>
          <x:t xml:space="preserve">A prompt fix that moves the net number can still break cases that were passing before. List every case_id that flipped in each direction, not just the net count - the reference customer-support example moved 92%-&gt;97% net, but that was 8 wrong-to-right against 3 right-to-wrong, not a clean +5.</x:t>
        </x:is>
      </x:c>
      <x:c r="B12" s="2" t="n"/>
    </x:row>
    <x:row r="13">
      <x:c r="A13" s="5" t="inlineStr">
        <x:is>
          <x:t xml:space="preserve">Cases flipped wrong -&gt; right (case_ids)</x:t>
        </x:is>
      </x:c>
      <x:c r="B13" s="2" t="inlineStr">
        <x:is>
          <x:t xml:space="preserve">None</x:t>
        </x:is>
      </x:c>
    </x:row>
    <x:row r="14">
      <x:c r="A14" s="5" t="inlineStr">
        <x:is>
          <x:t xml:space="preserve">Cases flipped right -&gt; wrong / regressed (case_ids)</x:t>
        </x:is>
      </x:c>
      <x:c r="B14" s="2" t="inlineStr">
        <x:is>
          <x:t xml:space="preserve">None</x:t>
        </x:is>
      </x:c>
    </x:row>
    <x:row r="15">
      <x:c r="A15" s="5" t="inlineStr">
        <x:is>
          <x:t xml:space="preserve">Failure-signature movement</x:t>
        </x:is>
      </x:c>
      <x:c r="B15" s="2" t="inlineStr">
        <x:is>
          <x:t xml:space="preserve">Deep runs: stall 3 -&gt; 3, fabricated/shortcut 1 -&gt; 2, timeout 1 -&gt; 0, partial completion 1 -&gt; 1. The intervention improved efficiency in this sample but did not fix correctness.</x:t>
        </x:is>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26" customWidth="1"/>
    <x:col min="2" max="2" width="30" customWidth="1"/>
    <x:col min="3" max="3" width="4" customWidth="1"/>
    <x:col min="4" max="4" width="4" customWidth="1"/>
    <x:col min="5" max="5" width="14" customWidth="1"/>
    <x:col min="6" max="6" width="10" customWidth="1"/>
    <x:col min="7" max="7" width="12" customWidth="1"/>
  </x:cols>
  <x:sheetData>
    <x:row r="1">
      <x:c r="A1" s="5" t="inlineStr">
        <x:is>
          <x:t xml:space="preserve">Step 5 (optional) - Run an LLM-as-judge scoped to the Step 4 cluster</x:t>
        </x:is>
      </x:c>
      <x:c r="B1" s="2" t="n"/>
      <x:c r="C1" s="2" t="n"/>
      <x:c r="D1" s="2" t="n"/>
      <x:c r="E1" s="2" t="n"/>
      <x:c r="F1" s="2" t="n"/>
      <x:c r="G1" s="2" t="n"/>
    </x:row>
    <x:row r="2">
      <x:c r="A2" s="2" t="inlineStr">
        <x:is>
          <x:t xml:space="preserve">Best fit here: Plan faithfulness or Outing factual groundedness from the Metrics sheet - both need judgment beyond exact match.</x:t>
        </x:is>
      </x:c>
      <x:c r="B2" s="2" t="n"/>
      <x:c r="C2" s="2" t="n"/>
      <x:c r="D2" s="2" t="n"/>
      <x:c r="E2" s="2" t="n"/>
      <x:c r="F2" s="2" t="n"/>
      <x:c r="G2" s="2" t="n"/>
    </x:row>
    <x:row r="3">
      <x:c r="A3" s="2" t="n"/>
      <x:c r="B3" s="2" t="n"/>
      <x:c r="C3" s="2" t="n"/>
      <x:c r="D3" s="2" t="n"/>
      <x:c r="E3" s="2" t="n"/>
      <x:c r="F3" s="2" t="n"/>
      <x:c r="G3" s="2" t="n"/>
    </x:row>
    <x:row r="4">
      <x:c r="A4" s="5" t="inlineStr">
        <x:is>
          <x:t xml:space="preserve">What the judge was run on</x:t>
        </x:is>
      </x:c>
      <x:c r="B4" s="2" t="n"/>
      <x:c r="C4" s="2" t="n"/>
      <x:c r="D4" s="2" t="n"/>
      <x:c r="E4" s="5" t="inlineStr">
        <x:is>
          <x:t xml:space="preserve">Ground Truth Distribution</x:t>
        </x:is>
      </x:c>
      <x:c r="F4" s="2" t="n"/>
      <x:c r="G4" s="2" t="n"/>
    </x:row>
    <x:row r="5">
      <x:c r="A5" s="2" t="inlineStr">
        <x:is>
          <x:t xml:space="preserve">Rows judged</x:t>
        </x:is>
      </x:c>
      <x:c r="B5" s="2" t="inlineStr">
        <x:is>
          <x:t xml:space="preserve"/>
        </x:is>
      </x:c>
      <x:c r="C5" s="2" t="n"/>
      <x:c r="D5" s="2" t="n"/>
      <x:c r="E5" s="2" t="inlineStr">
        <x:is>
          <x:t xml:space="preserve">Label</x:t>
        </x:is>
      </x:c>
      <x:c r="F5" s="2" t="inlineStr">
        <x:is>
          <x:t xml:space="preserve">Count</x:t>
        </x:is>
      </x:c>
      <x:c r="G5" s="2" t="inlineStr">
        <x:is>
          <x:t xml:space="preserve">Percentage</x:t>
        </x:is>
      </x:c>
    </x:row>
  </x:sheetData>
  <x:pageMargins left="0.7" right="0.7" top="0.75" bottom="0.75" header="0.3" footer="0.3"/>
</x:worksheet>
</file>

<file path=xl/worksheets/sheet8.xml><?xml version="1.0" encoding="utf-8"?>
<x:worksheet xmlns:x="http://schemas.openxmlformats.org/spreadsheetml/2006/main">
  <x:sheetFormatPr baseColWidth="8" defaultRowHeight="15"/>
  <x:cols>
    <x:col min="1" max="1" width="30" customWidth="1"/>
    <x:col min="2" max="2" width="70" customWidth="1"/>
  </x:cols>
  <x:sheetData>
    <x:row r="1">
      <x:c r="A1" s="5" t="inlineStr">
        <x:is>
          <x:t xml:space="preserve">Step 6 (optional) - Align the LLM-as-judge against human labels</x:t>
        </x:is>
      </x:c>
      <x:c r="B1" s="2" t="n"/>
    </x:row>
    <x:row r="2">
      <x:c r="A2" s="2" t="inlineStr">
        <x:is>
          <x:t xml:space="preserve">Only needed if Step 5's judge disagrees with your own read of the cases.</x:t>
        </x:is>
      </x:c>
      <x:c r="B2" s="2" t="n"/>
    </x:row>
    <x:row r="3">
      <x:c r="A3" s="2" t="n"/>
      <x:c r="B3" s="2" t="n"/>
    </x:row>
    <x:row r="4">
      <x:c r="A4" s="5" t="inlineStr">
        <x:is>
          <x:t xml:space="preserve">Failure category being judged</x:t>
        </x:is>
      </x:c>
      <x:c r="B4" s="2" t="n"/>
    </x:row>
    <x:row r="5">
      <x:c r="A5" s="5" t="inlineStr">
        <x:is>
          <x:t xml:space="preserve">Current agreement</x:t>
        </x:is>
      </x:c>
      <x:c r="B5" s="6" t="inlineStr">
        <x:is>
          <x:t xml:space="preserve">Judge-vs-human accuracy, precision, recall, F1 - not accuracy alone (a judge that always says FALSE can still score high on an imbalanced set).</x:t>
        </x:is>
      </x:c>
    </x:row>
    <x:row r="6">
      <x:c r="A6" s="5" t="inlineStr">
        <x:is>
          <x:t xml:space="preserve">Mismatch pattern</x:t>
        </x:is>
      </x:c>
      <x:c r="B6" s="6" t="inlineStr">
        <x:is>
          <x:t xml:space="preserve">What kind of case the judge consistently gets wrong.</x:t>
        </x:is>
      </x:c>
    </x:row>
    <x:row r="7">
      <x:c r="A7" s="5" t="inlineStr">
        <x:is>
          <x:t xml:space="preserve">Original prompt (current judge prompt)</x:t>
        </x:is>
      </x:c>
      <x:c r="B7" s="2" t="n"/>
    </x:row>
    <x:row r="8">
      <x:c r="A8" s="5" t="inlineStr">
        <x:is>
          <x:t xml:space="preserve">Tweaked prompt (your proposed change)</x:t>
        </x:is>
      </x:c>
      <x:c r="B8" s="6" t="inlineStr">
        <x:is>
          <x:t xml:space="preserve">One focused edit: a disambiguation rule, tightened definition, few-shot example, or forced reasoning step.</x:t>
        </x:is>
      </x:c>
    </x:row>
    <x:row r="9">
      <x:c r="A9" s="5" t="inlineStr">
        <x:is>
          <x:t xml:space="preserve">Expected impact</x:t>
        </x:is>
      </x:c>
      <x:c r="B9" s="2" t="n"/>
    </x:row>
  </x:sheetData>
  <x:pageMargins left="0.7" right="0.7" top="0.75" bottom="0.75" header="0.3" footer="0.3"/>
</x:worksheet>
</file>